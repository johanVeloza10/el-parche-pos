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KA" sheetId="1" r:id="rId4"/>
    <sheet state="visible" name="MANDALA" sheetId="2" r:id="rId5"/>
    <sheet state="visible" name="CLAVELITO" sheetId="3" r:id="rId6"/>
    <sheet state="visible" name="ESTEFANÍA" sheetId="4" r:id="rId7"/>
    <sheet state="visible" name="ANIMALEJA" sheetId="5" r:id="rId8"/>
    <sheet state="visible" name="MALEJA CORREA" sheetId="6" r:id="rId9"/>
    <sheet state="visible" name="AJÍ PICAFLOR" sheetId="7" r:id="rId10"/>
    <sheet state="visible" name="EMCI" sheetId="8" r:id="rId11"/>
    <sheet state="visible" name="DUE" sheetId="9" r:id="rId12"/>
    <sheet state="visible" name="R3" sheetId="10" r:id="rId13"/>
    <sheet state="visible" name="SUMERCÉ" sheetId="11" r:id="rId14"/>
    <sheet state="visible" name="TSURU" sheetId="12" r:id="rId15"/>
    <sheet state="visible" name="ELVIRA" sheetId="13" r:id="rId16"/>
    <sheet state="visible" name="PALOMA" sheetId="14" r:id="rId17"/>
    <sheet state="visible" name="MI CAJITA PÚRPURA" sheetId="15" r:id="rId18"/>
    <sheet state="visible" name="MAMBÍ" sheetId="16" r:id="rId19"/>
    <sheet state="visible" name="MARAHÉ" sheetId="17" r:id="rId20"/>
    <sheet state="visible" name="SEMILLA COLECTIVO" sheetId="18" r:id="rId21"/>
    <sheet state="visible" name="MUNDO CRECIENTE" sheetId="19" r:id="rId22"/>
    <sheet state="visible" name="TOTAL VENTAS MES" sheetId="20" r:id="rId23"/>
    <sheet state="visible" name="PAGOS PENDIENTES" sheetId="21" r:id="rId24"/>
  </sheets>
  <definedNames/>
  <calcPr/>
  <extLst>
    <ext uri="GoogleSheetsCustomDataVersion2">
      <go:sheetsCustomData xmlns:go="http://customooxmlschemas.google.com/" r:id="rId25" roundtripDataChecksum="EbgDDFgM0UZ2oQpDhcyMnTw/Uc9hX5fTMUEUyUZxUn8="/>
    </ext>
  </extLst>
</workbook>
</file>

<file path=xl/sharedStrings.xml><?xml version="1.0" encoding="utf-8"?>
<sst xmlns="http://schemas.openxmlformats.org/spreadsheetml/2006/main" count="2623" uniqueCount="493">
  <si>
    <t>REPORTE DE VENTAS</t>
  </si>
  <si>
    <t>MARCA: EKA</t>
  </si>
  <si>
    <t>MES: ENERO 2026</t>
  </si>
  <si>
    <t xml:space="preserve">FECHA </t>
  </si>
  <si>
    <t>CÓD</t>
  </si>
  <si>
    <t>REFERENCIA</t>
  </si>
  <si>
    <t>PRECIO VENTA</t>
  </si>
  <si>
    <t>PRECIO PROVEEDOR</t>
  </si>
  <si>
    <t>COMISIÓN TIENDA L.F</t>
  </si>
  <si>
    <t>15 Enero</t>
  </si>
  <si>
    <t>Camisa Nerú</t>
  </si>
  <si>
    <t>Camisa Oriental</t>
  </si>
  <si>
    <t>17 Enero</t>
  </si>
  <si>
    <t>Capa Paño Adulto</t>
  </si>
  <si>
    <t>19 Enero</t>
  </si>
  <si>
    <t xml:space="preserve">Falda Franjas Maxi </t>
  </si>
  <si>
    <t>24 Enero</t>
  </si>
  <si>
    <t>Vestido Globo</t>
  </si>
  <si>
    <t>31 Enero</t>
  </si>
  <si>
    <t>TOTAL VENTAS</t>
  </si>
  <si>
    <t xml:space="preserve">              TOTAL </t>
  </si>
  <si>
    <t>TOTAL A PAGAR</t>
  </si>
  <si>
    <t>MES: FEBRERO 2026</t>
  </si>
  <si>
    <t>5 Febrero</t>
  </si>
  <si>
    <t>Vestido Oriental Lino</t>
  </si>
  <si>
    <t>6 Febrero</t>
  </si>
  <si>
    <t>Capa Paño</t>
  </si>
  <si>
    <t>13 Febrero</t>
  </si>
  <si>
    <t>Capa Oso</t>
  </si>
  <si>
    <t>14 Febrero</t>
  </si>
  <si>
    <t xml:space="preserve">Blusa Oriental </t>
  </si>
  <si>
    <t xml:space="preserve">Vestido Maxi Lino </t>
  </si>
  <si>
    <t xml:space="preserve">Vestido Oriental Maxi </t>
  </si>
  <si>
    <t>Capa Paño Niño</t>
  </si>
  <si>
    <t>15 Febrero</t>
  </si>
  <si>
    <t>Vestido Guapa</t>
  </si>
  <si>
    <t>Gabardina Petra</t>
  </si>
  <si>
    <t>Falda Franjas Maxi</t>
  </si>
  <si>
    <t>16 Febrero</t>
  </si>
  <si>
    <t xml:space="preserve">Capa Paño </t>
  </si>
  <si>
    <t>17 Febrero</t>
  </si>
  <si>
    <t>Vestido Corazón (Encargo)</t>
  </si>
  <si>
    <t>18 Febrero</t>
  </si>
  <si>
    <t>19 Febrero</t>
  </si>
  <si>
    <t>Vestido Maxi Lino</t>
  </si>
  <si>
    <t>Falda Franjas</t>
  </si>
  <si>
    <t xml:space="preserve">Vestido Corazón  </t>
  </si>
  <si>
    <t>21 Febrero</t>
  </si>
  <si>
    <t>Pantalón Reata</t>
  </si>
  <si>
    <t>Pantalón Palazzo</t>
  </si>
  <si>
    <t>22 Febrero</t>
  </si>
  <si>
    <t>Gabardina Kimono</t>
  </si>
  <si>
    <t>24 Febrero</t>
  </si>
  <si>
    <t>Gabardina Estampada (Encargo)</t>
  </si>
  <si>
    <t>26 Febrero</t>
  </si>
  <si>
    <t>Falda Reina</t>
  </si>
  <si>
    <t>27 Febrero</t>
  </si>
  <si>
    <t>Overol</t>
  </si>
  <si>
    <t>Vestido Oriental</t>
  </si>
  <si>
    <t>Enterizo Nilo</t>
  </si>
  <si>
    <t>28 Febrero</t>
  </si>
  <si>
    <t>Capa Pelos</t>
  </si>
  <si>
    <t>SALDO PEND. PRÓX. MES</t>
  </si>
  <si>
    <t xml:space="preserve">TOTAL A PAGAR </t>
  </si>
  <si>
    <t>MES: MARZO 2026</t>
  </si>
  <si>
    <t>1 Marzo</t>
  </si>
  <si>
    <t>Vestido Grua</t>
  </si>
  <si>
    <t>3 Marzo</t>
  </si>
  <si>
    <t>5 Marzo</t>
  </si>
  <si>
    <t xml:space="preserve">Aretes </t>
  </si>
  <si>
    <t>7 Marzo</t>
  </si>
  <si>
    <t>Vestido Kimono</t>
  </si>
  <si>
    <t>10 Marzo</t>
  </si>
  <si>
    <t>11 Marzo</t>
  </si>
  <si>
    <t>Vestido Corazón</t>
  </si>
  <si>
    <t>Falda Franjas Larga</t>
  </si>
  <si>
    <t>Falda Campana</t>
  </si>
  <si>
    <t>Falda Media</t>
  </si>
  <si>
    <t>12 Marzo</t>
  </si>
  <si>
    <t>Vestido Oriental Maxi Lino</t>
  </si>
  <si>
    <t>Enterizo Nilo (-25% Dcto)</t>
  </si>
  <si>
    <t>Vestido Marylin</t>
  </si>
  <si>
    <t>Vestido Oriental Maxi Bordado</t>
  </si>
  <si>
    <t>13 Marzo</t>
  </si>
  <si>
    <t>Vestido Oriental Maxi</t>
  </si>
  <si>
    <t>Vestido Oriental Punjabi</t>
  </si>
  <si>
    <t>14 Marzo</t>
  </si>
  <si>
    <t>15 Marzo</t>
  </si>
  <si>
    <t>16 Marzo</t>
  </si>
  <si>
    <t>18 Marzo</t>
  </si>
  <si>
    <t>20 Marzo</t>
  </si>
  <si>
    <t>21 Marzo</t>
  </si>
  <si>
    <t>22 Marzo</t>
  </si>
  <si>
    <t>Capa Oso Niña</t>
  </si>
  <si>
    <t>25 Marzo</t>
  </si>
  <si>
    <t>Falda Libre (-25% Dcto)</t>
  </si>
  <si>
    <t>26 Marzo</t>
  </si>
  <si>
    <t xml:space="preserve">Falda Triángulo </t>
  </si>
  <si>
    <t>28 Marzo</t>
  </si>
  <si>
    <t>30 Marzo</t>
  </si>
  <si>
    <t>SALDO PEND. ANT. MES</t>
  </si>
  <si>
    <t>MES: ABRIL 2026</t>
  </si>
  <si>
    <t>1 Abril</t>
  </si>
  <si>
    <t>Overol Pana</t>
  </si>
  <si>
    <t>4 Abril</t>
  </si>
  <si>
    <t>7 Abril</t>
  </si>
  <si>
    <t>9 Abril</t>
  </si>
  <si>
    <t>Leggins Niña</t>
  </si>
  <si>
    <t>10 Abril</t>
  </si>
  <si>
    <t>Capa Oso (-10% Dcto)</t>
  </si>
  <si>
    <t>11 Abril</t>
  </si>
  <si>
    <t xml:space="preserve">Vestido Oriental  </t>
  </si>
  <si>
    <t>12 Abril</t>
  </si>
  <si>
    <t>Kimono Estampado</t>
  </si>
  <si>
    <t>14 Abril</t>
  </si>
  <si>
    <t>17 Abril</t>
  </si>
  <si>
    <t>18 Abril</t>
  </si>
  <si>
    <t>Blusa Oriental</t>
  </si>
  <si>
    <t>22 Abril</t>
  </si>
  <si>
    <t>23  Abril</t>
  </si>
  <si>
    <t>Vestido Merlín</t>
  </si>
  <si>
    <t>25  Abril</t>
  </si>
  <si>
    <t>Chaleco Paño</t>
  </si>
  <si>
    <t>26 Abril</t>
  </si>
  <si>
    <t xml:space="preserve">Vestido Oriental </t>
  </si>
  <si>
    <t>28 Abril</t>
  </si>
  <si>
    <t>MES: MAYO 2026</t>
  </si>
  <si>
    <t>2 Mayo</t>
  </si>
  <si>
    <t>Blusa Oriental Lino</t>
  </si>
  <si>
    <t>6 Mayo</t>
  </si>
  <si>
    <t>Capa Paño Hombre</t>
  </si>
  <si>
    <t>9 Mayo</t>
  </si>
  <si>
    <t>10 Mayo</t>
  </si>
  <si>
    <t>Vestido Oriental Maxi Manga Larga</t>
  </si>
  <si>
    <t>13 Mayo</t>
  </si>
  <si>
    <t>Capa Paño (Encargo)</t>
  </si>
  <si>
    <t>14 Mayo</t>
  </si>
  <si>
    <t>Excendente Tela</t>
  </si>
  <si>
    <t>Falda Campana -10% Dcto</t>
  </si>
  <si>
    <t>15 Mayo</t>
  </si>
  <si>
    <t>16 Mayo</t>
  </si>
  <si>
    <t>Vestido Oriental Corto</t>
  </si>
  <si>
    <t>17 Mayo</t>
  </si>
  <si>
    <t>23 Mayo</t>
  </si>
  <si>
    <t>Capa Larga Ovejera</t>
  </si>
  <si>
    <t>Vestido París</t>
  </si>
  <si>
    <t xml:space="preserve">Vestido Corazón </t>
  </si>
  <si>
    <t>24 Mayo</t>
  </si>
  <si>
    <t>26 Mayo</t>
  </si>
  <si>
    <t>Chaqueta Orfy -20% Dcto</t>
  </si>
  <si>
    <t>Gabardina</t>
  </si>
  <si>
    <t>27 Mayo</t>
  </si>
  <si>
    <t xml:space="preserve">Pantalón Palazzo </t>
  </si>
  <si>
    <t>29 Mayo</t>
  </si>
  <si>
    <t>30 Mayo</t>
  </si>
  <si>
    <t xml:space="preserve">Blusa Oriental  </t>
  </si>
  <si>
    <t>Overol Hombre</t>
  </si>
  <si>
    <t>MES: JUNIO 2026</t>
  </si>
  <si>
    <t>3 Junio</t>
  </si>
  <si>
    <t xml:space="preserve">Pantalón Reata </t>
  </si>
  <si>
    <t>Pantalón Reata H (Encargo)</t>
  </si>
  <si>
    <t>4 Junio</t>
  </si>
  <si>
    <t>6 Junio</t>
  </si>
  <si>
    <t>10 Junio</t>
  </si>
  <si>
    <t>13 Junio</t>
  </si>
  <si>
    <t>14 Junio</t>
  </si>
  <si>
    <t>21 Junio</t>
  </si>
  <si>
    <t>23 Junio</t>
  </si>
  <si>
    <t>Pantalón Palazzo Kirty (Encargo)</t>
  </si>
  <si>
    <t>Vestido Orienta Maxi ML (Encargo)</t>
  </si>
  <si>
    <t>24 Junio</t>
  </si>
  <si>
    <t>25 Junio</t>
  </si>
  <si>
    <t>26 Junio</t>
  </si>
  <si>
    <t>27 Junio</t>
  </si>
  <si>
    <t>MARCA: MANDALA</t>
  </si>
  <si>
    <t>Chaleco Florilegio</t>
  </si>
  <si>
    <t>20 Enero</t>
  </si>
  <si>
    <t xml:space="preserve">Aretes Grandes </t>
  </si>
  <si>
    <t>21 Enero</t>
  </si>
  <si>
    <t>Blusa Sisa</t>
  </si>
  <si>
    <t>22 Enero</t>
  </si>
  <si>
    <t>Falda Larga (-25% Dcto)</t>
  </si>
  <si>
    <t>28 Enero</t>
  </si>
  <si>
    <t xml:space="preserve">Falda Promo (-45% Dcto) </t>
  </si>
  <si>
    <t>Falda Estampada</t>
  </si>
  <si>
    <t>Enterizo Lino</t>
  </si>
  <si>
    <t>Blusa Manga Bolero (-25%Dcto)</t>
  </si>
  <si>
    <t>Vestido Alba</t>
  </si>
  <si>
    <t>Aretes Grandes</t>
  </si>
  <si>
    <t>Aretes Grandes (-10% Dcto)</t>
  </si>
  <si>
    <t>Pantalón Balí</t>
  </si>
  <si>
    <t>Falda Jean PAM</t>
  </si>
  <si>
    <t>25 Febrero</t>
  </si>
  <si>
    <t>Vestido Campana Sin Mangas (-25%Dcto)</t>
  </si>
  <si>
    <t>Saco Sobreflora</t>
  </si>
  <si>
    <t>4 Marzo</t>
  </si>
  <si>
    <t>Vestido Campana (-25% Dcto)</t>
  </si>
  <si>
    <t xml:space="preserve">Vestido Alba </t>
  </si>
  <si>
    <t>6 Marzo</t>
  </si>
  <si>
    <t xml:space="preserve">Abrigo Largo </t>
  </si>
  <si>
    <t>Enterizo Bolero</t>
  </si>
  <si>
    <t>Aretes Pequeños</t>
  </si>
  <si>
    <t>21 Abril</t>
  </si>
  <si>
    <t>24 Abril</t>
  </si>
  <si>
    <t>Pantalón Sahara</t>
  </si>
  <si>
    <t>25 Abril</t>
  </si>
  <si>
    <t>Abrigo Largo</t>
  </si>
  <si>
    <t>Devolución de Vestido Alba 25 marzo</t>
  </si>
  <si>
    <t>8 Mayo</t>
  </si>
  <si>
    <t>Enterizo Bolero (Separado)</t>
  </si>
  <si>
    <t>28 Mayo</t>
  </si>
  <si>
    <t>Aretes Pequeño</t>
  </si>
  <si>
    <t>7 Junio</t>
  </si>
  <si>
    <t>Falda Jean Pintada</t>
  </si>
  <si>
    <t xml:space="preserve">MARCA: CLAVELITO </t>
  </si>
  <si>
    <t xml:space="preserve">Overol Agua </t>
  </si>
  <si>
    <t xml:space="preserve">TOTAL VENTAS </t>
  </si>
  <si>
    <r>
      <rPr>
        <rFont val="Calibri"/>
        <color theme="1"/>
        <sz val="11.0"/>
      </rPr>
      <t xml:space="preserve">SALDO PEND. ANTERIOR MES 
</t>
    </r>
    <r>
      <rPr>
        <rFont val="Calibri"/>
        <color theme="1"/>
        <sz val="10.0"/>
      </rPr>
      <t>(Overol Agua 20 Dic/25)</t>
    </r>
  </si>
  <si>
    <t xml:space="preserve">TOTAL  A PAGAR </t>
  </si>
  <si>
    <t xml:space="preserve">Falda Aplique </t>
  </si>
  <si>
    <t>Overol PAM</t>
  </si>
  <si>
    <t>Overol Agua</t>
  </si>
  <si>
    <t>Overol WAX</t>
  </si>
  <si>
    <t>Falda Aplique</t>
  </si>
  <si>
    <t>Blusa PAM</t>
  </si>
  <si>
    <t>Pantalón Aplique</t>
  </si>
  <si>
    <t>Blusa Aplique</t>
  </si>
  <si>
    <t>29 Marzo</t>
  </si>
  <si>
    <t>Camisa Mariposa</t>
  </si>
  <si>
    <t>Pnatalón Agua</t>
  </si>
  <si>
    <t>Kurta</t>
  </si>
  <si>
    <t>Pantalón Agua</t>
  </si>
  <si>
    <t>Falda PAM</t>
  </si>
  <si>
    <t>Pantalón PAM</t>
  </si>
  <si>
    <t>2 Junio</t>
  </si>
  <si>
    <t>11 Junio</t>
  </si>
  <si>
    <t>20 Junio</t>
  </si>
  <si>
    <t>MARCA: ESTEFANÍA</t>
  </si>
  <si>
    <t>Aretes Bocavi</t>
  </si>
  <si>
    <t>Aretes Promo</t>
  </si>
  <si>
    <t xml:space="preserve">Aretes Piedras Semipreciosas </t>
  </si>
  <si>
    <t>Gargantilla Alambre</t>
  </si>
  <si>
    <t>Aretes Semipreciosas Sencillas</t>
  </si>
  <si>
    <t>16 Abril</t>
  </si>
  <si>
    <t>Aretes Piedras Semipreciosas S.</t>
  </si>
  <si>
    <t>Aretes Osties</t>
  </si>
  <si>
    <t>Libreta Mundo</t>
  </si>
  <si>
    <t>22 Mayo</t>
  </si>
  <si>
    <t>Anillo</t>
  </si>
  <si>
    <t xml:space="preserve">MARCA: ANIMALEJA </t>
  </si>
  <si>
    <t>29 Enero</t>
  </si>
  <si>
    <t>Top Multicolor</t>
  </si>
  <si>
    <t>7 Febrero</t>
  </si>
  <si>
    <t>Chal Pompones</t>
  </si>
  <si>
    <t>Turbante Tejido</t>
  </si>
  <si>
    <t>Buso Surtido</t>
  </si>
  <si>
    <t>19 Marzo</t>
  </si>
  <si>
    <t>Saco Chal Petra</t>
  </si>
  <si>
    <t>Saco Luna</t>
  </si>
  <si>
    <t>Top Sole</t>
  </si>
  <si>
    <t>Top Unicolor</t>
  </si>
  <si>
    <t xml:space="preserve">Saco Melcocha </t>
  </si>
  <si>
    <t>Saco Niño</t>
  </si>
  <si>
    <t>Scrunchie</t>
  </si>
  <si>
    <t xml:space="preserve">Forro Cel </t>
  </si>
  <si>
    <t>Buso Luna</t>
  </si>
  <si>
    <t>Mukluk</t>
  </si>
  <si>
    <t>MARCA: MALEJA CORREA</t>
  </si>
  <si>
    <t>Bolso Tela</t>
  </si>
  <si>
    <t>8 Marzo</t>
  </si>
  <si>
    <t>MARCA: AJÍ PICAFLOR</t>
  </si>
  <si>
    <t>Ají Picaflor</t>
  </si>
  <si>
    <t>MARCA: EMCI</t>
  </si>
  <si>
    <t>Sobre Largo</t>
  </si>
  <si>
    <t>Portadocumentos</t>
  </si>
  <si>
    <t>Billetera Larga</t>
  </si>
  <si>
    <t>MARCA: DUE</t>
  </si>
  <si>
    <t>Vestido Hindú</t>
  </si>
  <si>
    <t>Blusa Surtida</t>
  </si>
  <si>
    <t>Blusa Sesgos</t>
  </si>
  <si>
    <t>Esqueleto Goa</t>
  </si>
  <si>
    <t>Vestido THEA</t>
  </si>
  <si>
    <t>Vestido Balí Sesgos</t>
  </si>
  <si>
    <t>Camisa Taba</t>
  </si>
  <si>
    <t>5 Mayo</t>
  </si>
  <si>
    <t>Vestido Balí</t>
  </si>
  <si>
    <t>Vestido Talismán</t>
  </si>
  <si>
    <t>Chaleco Divalis</t>
  </si>
  <si>
    <t>Blusa Taba</t>
  </si>
  <si>
    <t>MARCA: R3</t>
  </si>
  <si>
    <t>Gorro Tejido</t>
  </si>
  <si>
    <t>Saco Alí</t>
  </si>
  <si>
    <t>Poncho Promo (-20% Dcto)</t>
  </si>
  <si>
    <t>Medias Atomic</t>
  </si>
  <si>
    <t>Saco Roma</t>
  </si>
  <si>
    <t>Saco Alú</t>
  </si>
  <si>
    <t>Saco B y N (-30% Dcto)</t>
  </si>
  <si>
    <t>Saco Triada</t>
  </si>
  <si>
    <t>Medias</t>
  </si>
  <si>
    <t>Saco Breaking Bad</t>
  </si>
  <si>
    <t>19 Abril</t>
  </si>
  <si>
    <t>Saco Conejo</t>
  </si>
  <si>
    <t>Saco Bonna</t>
  </si>
  <si>
    <t>Saco Alina</t>
  </si>
  <si>
    <t xml:space="preserve">Medias </t>
  </si>
  <si>
    <t>Saco Tano</t>
  </si>
  <si>
    <t>Cuello Ondas</t>
  </si>
  <si>
    <t>Saco Emma</t>
  </si>
  <si>
    <t>Saco Celia</t>
  </si>
  <si>
    <t>18 Junio</t>
  </si>
  <si>
    <t>Bufanda Ondas</t>
  </si>
  <si>
    <t>19 Junio</t>
  </si>
  <si>
    <t>Saco Cubismo</t>
  </si>
  <si>
    <t>Saco Alforza</t>
  </si>
  <si>
    <t>Saco Polca (Encargo)</t>
  </si>
  <si>
    <t>MARCA: SUMERCÉ</t>
  </si>
  <si>
    <t>Vestido Pope</t>
  </si>
  <si>
    <t>Vestido Bella</t>
  </si>
  <si>
    <t>Blusa Haba</t>
  </si>
  <si>
    <t>Blusa Dania</t>
  </si>
  <si>
    <t>Camisa Drago (-10% Dcto)</t>
  </si>
  <si>
    <t>Blusa Dania (-10% Dcto)</t>
  </si>
  <si>
    <t>20 Febrero</t>
  </si>
  <si>
    <t xml:space="preserve">Zopilote </t>
  </si>
  <si>
    <t>Turbante</t>
  </si>
  <si>
    <t>Capotapaboca</t>
  </si>
  <si>
    <t>Camisa Páramo (-10% Dcto)</t>
  </si>
  <si>
    <t>Blusa Saimón</t>
  </si>
  <si>
    <t>Blusa Yané</t>
  </si>
  <si>
    <t>Buso Curuba</t>
  </si>
  <si>
    <t>Buso Maíz</t>
  </si>
  <si>
    <t>Camisa Yané</t>
  </si>
  <si>
    <t>Blusa Páramo</t>
  </si>
  <si>
    <t>Buso Pope</t>
  </si>
  <si>
    <t>Camisa Drago</t>
  </si>
  <si>
    <t>Buso Cuco</t>
  </si>
  <si>
    <t>8 Abril</t>
  </si>
  <si>
    <t>23 Abril</t>
  </si>
  <si>
    <t xml:space="preserve">Buso Trigo </t>
  </si>
  <si>
    <t>30 Abril</t>
  </si>
  <si>
    <t>Buso Helecho</t>
  </si>
  <si>
    <t>7 Mayo</t>
  </si>
  <si>
    <t>Cuello Zopilote</t>
  </si>
  <si>
    <t>Camisa Parámo</t>
  </si>
  <si>
    <t>12 Mayo</t>
  </si>
  <si>
    <t>Saco Chumi</t>
  </si>
  <si>
    <t xml:space="preserve">4 Junio </t>
  </si>
  <si>
    <t>Zopilote</t>
  </si>
  <si>
    <t xml:space="preserve">7 Junio </t>
  </si>
  <si>
    <t>17 Junio</t>
  </si>
  <si>
    <t>Saco Chumi Peludo</t>
  </si>
  <si>
    <t>MARCA: TSURU</t>
  </si>
  <si>
    <t>16 Enero</t>
  </si>
  <si>
    <t>Aretes Tipo A</t>
  </si>
  <si>
    <t>Prendedor</t>
  </si>
  <si>
    <t>Aretes Origami Grandes</t>
  </si>
  <si>
    <t>Aretes Tipo  A</t>
  </si>
  <si>
    <t>MARCA: ELVIRA LAGO</t>
  </si>
  <si>
    <t>Vestido Ovejero</t>
  </si>
  <si>
    <t>Falda Roma</t>
  </si>
  <si>
    <t xml:space="preserve">Vestido Bengala </t>
  </si>
  <si>
    <t>Recargo</t>
  </si>
  <si>
    <t>Falda Roma Estampada</t>
  </si>
  <si>
    <t>Vestido Ovejero Adulto</t>
  </si>
  <si>
    <t>Arreglo</t>
  </si>
  <si>
    <t>Vestido Bengala</t>
  </si>
  <si>
    <t>Vestido Bengala (Encargo)</t>
  </si>
  <si>
    <t>Vestido Ovejero (Encargo)</t>
  </si>
  <si>
    <t>Vestido Ovejero Niña</t>
  </si>
  <si>
    <r>
      <rPr>
        <rFont val="Calibri"/>
        <color theme="1"/>
        <sz val="11.0"/>
      </rPr>
      <t>SALDO PEND. ANT. MES (</t>
    </r>
    <r>
      <rPr>
        <rFont val="Calibri"/>
        <color theme="1"/>
        <sz val="10.0"/>
      </rPr>
      <t>Vesti. Ovejero - 17 mayo</t>
    </r>
    <r>
      <rPr>
        <rFont val="Calibri"/>
        <color theme="1"/>
        <sz val="11.0"/>
      </rPr>
      <t>)</t>
    </r>
  </si>
  <si>
    <t>MARCA: PALOMA</t>
  </si>
  <si>
    <t>Accesorio Méxicano</t>
  </si>
  <si>
    <t>Bolso Méxicano</t>
  </si>
  <si>
    <t>Accesorio Gato</t>
  </si>
  <si>
    <t>Libreta Mediana</t>
  </si>
  <si>
    <t>Libreta Mini</t>
  </si>
  <si>
    <t xml:space="preserve">Caja Metálica </t>
  </si>
  <si>
    <t>MARCA: MI CAJITA PÚRPURA</t>
  </si>
  <si>
    <t>Collar Dije Mediano</t>
  </si>
  <si>
    <t>Topos Medianos</t>
  </si>
  <si>
    <t>Topos Pequeños</t>
  </si>
  <si>
    <t>Sujetagafas</t>
  </si>
  <si>
    <t>Earcuff</t>
  </si>
  <si>
    <t>Topos Grandes</t>
  </si>
  <si>
    <t>MARCA: MAMBÍ</t>
  </si>
  <si>
    <t>Aretes Pandero</t>
  </si>
  <si>
    <t>Aretes Pirámide</t>
  </si>
  <si>
    <t>Aretes Gotas Colección</t>
  </si>
  <si>
    <t xml:space="preserve">Anillo Médula </t>
  </si>
  <si>
    <t>Pulsera 3 Flores</t>
  </si>
  <si>
    <t>Aretes Ángel</t>
  </si>
  <si>
    <t>Aretes Gota Chorro</t>
  </si>
  <si>
    <t>Aretes Corazón Tomatillo</t>
  </si>
  <si>
    <t>Aretes Soles</t>
  </si>
  <si>
    <t>Anillo N1</t>
  </si>
  <si>
    <t xml:space="preserve">Anillo Encaje </t>
  </si>
  <si>
    <t>MARCA: MARAHÉ</t>
  </si>
  <si>
    <t>Aretes Alquim</t>
  </si>
  <si>
    <t>Aretes Mariposas</t>
  </si>
  <si>
    <t>Anillo Hilo Cobre</t>
  </si>
  <si>
    <t>Brazalete Cobre</t>
  </si>
  <si>
    <t>Aretes Guacamayos</t>
  </si>
  <si>
    <t>Aretes Alas Mariposas</t>
  </si>
  <si>
    <t>Aretes Aves Pequeños</t>
  </si>
  <si>
    <t>Aretes Colibrí</t>
  </si>
  <si>
    <t>Brazalete Hilo Cobre</t>
  </si>
  <si>
    <t>27 Marzo</t>
  </si>
  <si>
    <t>Aretes Alquimia Largo</t>
  </si>
  <si>
    <t>TOTAL  VENTAS</t>
  </si>
  <si>
    <t>Aretes Mariposas Mini</t>
  </si>
  <si>
    <t>Pulsera Hilo Cobre</t>
  </si>
  <si>
    <t>Aretes Alquimia Flor</t>
  </si>
  <si>
    <t>Aretes Ala Mariposas</t>
  </si>
  <si>
    <t>Anillo Hilo Cobre AN 13</t>
  </si>
  <si>
    <t>Anillo Serpiente Cobre</t>
  </si>
  <si>
    <t>Aretes Guacamaya</t>
  </si>
  <si>
    <t>Aretes Colibrí Grande</t>
  </si>
  <si>
    <t>Aretes Ave Pequeño</t>
  </si>
  <si>
    <t>Aretes Barranqueros</t>
  </si>
  <si>
    <t>25  Junio</t>
  </si>
  <si>
    <t>26  Junio</t>
  </si>
  <si>
    <t>MARCA: SEMILLA COLECTIVO</t>
  </si>
  <si>
    <t>Chaqueta #7</t>
  </si>
  <si>
    <t>Chaqueta #2</t>
  </si>
  <si>
    <t>Chaqueta #10</t>
  </si>
  <si>
    <t>Chaqueta #9</t>
  </si>
  <si>
    <t>Chaqueta #12</t>
  </si>
  <si>
    <t>Chaqueta #13</t>
  </si>
  <si>
    <t>Chaqueta #5</t>
  </si>
  <si>
    <t>Chaqueta #18</t>
  </si>
  <si>
    <t>Chaqueta #26</t>
  </si>
  <si>
    <t>Chaqueta #22</t>
  </si>
  <si>
    <t>Chaqueta #25</t>
  </si>
  <si>
    <t>19 Mayo</t>
  </si>
  <si>
    <t>Chaqueta #24</t>
  </si>
  <si>
    <t>31 Mayo</t>
  </si>
  <si>
    <t>Chaqueta</t>
  </si>
  <si>
    <t>MARCA: MUNDO CRECIENTE</t>
  </si>
  <si>
    <t>Botas Old Cat</t>
  </si>
  <si>
    <t>Zapato Creciente</t>
  </si>
  <si>
    <t xml:space="preserve">Zapato Atardecer </t>
  </si>
  <si>
    <t>Botas Páramo (Encargo)</t>
  </si>
  <si>
    <t>Botas Munari (Encargo)</t>
  </si>
  <si>
    <t xml:space="preserve">Botas Munari </t>
  </si>
  <si>
    <t>9 Junio</t>
  </si>
  <si>
    <r>
      <rPr>
        <rFont val="Calibri"/>
        <color theme="1"/>
        <sz val="11.0"/>
      </rPr>
      <t>SALDO PEND. ANT. MES (</t>
    </r>
    <r>
      <rPr>
        <rFont val="Calibri"/>
        <color theme="1"/>
        <sz val="10.0"/>
      </rPr>
      <t>Botas Munari - 13 mayo)</t>
    </r>
  </si>
  <si>
    <t>TOTAL MES ENERO</t>
  </si>
  <si>
    <t>TOTAL CONSIGNACIÓN</t>
  </si>
  <si>
    <t>TOTAL LIBRO FISCAL</t>
  </si>
  <si>
    <t>TOTAL MES FEBRERO</t>
  </si>
  <si>
    <t>TOTAL MES MARZO</t>
  </si>
  <si>
    <t>TOTAL MES ABRIL</t>
  </si>
  <si>
    <t>TOTAL MES MAYO</t>
  </si>
  <si>
    <t>TOTAL MES JUNIO</t>
  </si>
  <si>
    <t>TOTAL MES JULIO</t>
  </si>
  <si>
    <t>TOTAL MES AGOSTO</t>
  </si>
  <si>
    <t>TOTAL MES SEPTIEMBRE</t>
  </si>
  <si>
    <t>TOTAL MES OCTUBRE</t>
  </si>
  <si>
    <t>TOTAL MES NOVIEMBRE</t>
  </si>
  <si>
    <t>TOTAL MES DICIEMBRE</t>
  </si>
  <si>
    <t xml:space="preserve">TOTAL AÑO </t>
  </si>
  <si>
    <t>MARCA</t>
  </si>
  <si>
    <t>CÓDIGO</t>
  </si>
  <si>
    <t xml:space="preserve">FECHA DE ENCARGO
O SEPARE </t>
  </si>
  <si>
    <t xml:space="preserve">PRECIO </t>
  </si>
  <si>
    <t>1 ABONO</t>
  </si>
  <si>
    <t>2 ABONO</t>
  </si>
  <si>
    <t>SALDO PENDIENTE</t>
  </si>
  <si>
    <t>CLIENTE</t>
  </si>
  <si>
    <t>OBSERVACIONES</t>
  </si>
  <si>
    <t>EKA</t>
  </si>
  <si>
    <t>SIN NOMBRE</t>
  </si>
  <si>
    <t>Se Paga en el mes de Febrero</t>
  </si>
  <si>
    <t>Se paga en el mes de Marzo</t>
  </si>
  <si>
    <t>R3</t>
  </si>
  <si>
    <t>saco Alí</t>
  </si>
  <si>
    <t>Gabardina Estampada</t>
  </si>
  <si>
    <t>ELVIRA LAGO</t>
  </si>
  <si>
    <t>Se paga en el mes de Marzo, pero el saldo 
entró el 21 de mayo</t>
  </si>
  <si>
    <t>MUNDO CRECIENTE</t>
  </si>
  <si>
    <t>Se paga en el mes de Abril</t>
  </si>
  <si>
    <t>Zapato Atardecer</t>
  </si>
  <si>
    <t>Se paga en el mes de mayo</t>
  </si>
  <si>
    <t>Botas Parámo</t>
  </si>
  <si>
    <t>Botas Munari</t>
  </si>
  <si>
    <t xml:space="preserve">Se paga en el mes de Junio </t>
  </si>
  <si>
    <t xml:space="preserve">PAOLA </t>
  </si>
  <si>
    <t>Cliente hace 1er abono de $200.000 el 9 de junio</t>
  </si>
  <si>
    <t>MANDALA</t>
  </si>
  <si>
    <t>Enterizo Boleros</t>
  </si>
  <si>
    <t>Pantalón Reata H</t>
  </si>
  <si>
    <t>Vestido Oriental Maxi ML</t>
  </si>
  <si>
    <t xml:space="preserve">Saco Polca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</si>
</sst>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-240A]\ #,##0.00;[Red]\-[$$-240A]\ #,##0.00"/>
    <numFmt numFmtId="165" formatCode="&quot;$&quot;\ #,##0.00;[Red]&quot;$&quot;\ #,##0.00"/>
    <numFmt numFmtId="166" formatCode="&quot;$&quot;\ #,##0.00;[Red]\-&quot;$&quot;\ #,##0.00"/>
  </numFmts>
  <fonts count="13">
    <font>
      <sz val="11.0"/>
      <color theme="1"/>
      <name val="Calibri"/>
      <scheme val="minor"/>
    </font>
    <font>
      <b/>
      <sz val="12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12.0"/>
      <color theme="1"/>
      <name val="Calibri"/>
    </font>
    <font>
      <b/>
      <sz val="11.0"/>
      <color rgb="FFFF0000"/>
      <name val="Calibri"/>
    </font>
    <font>
      <sz val="11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4.0"/>
      <color theme="1"/>
      <name val="Calibri"/>
    </font>
    <font>
      <b/>
      <sz val="2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0" fillId="0" fontId="1" numFmtId="0" xfId="0" applyFont="1"/>
    <xf borderId="1" fillId="0" fontId="1" numFmtId="0" xfId="0" applyAlignment="1" applyBorder="1" applyFont="1">
      <alignment horizontal="left"/>
    </xf>
    <xf borderId="5" fillId="0" fontId="2" numFmtId="0" xfId="0" applyBorder="1" applyFont="1"/>
    <xf borderId="1" fillId="0" fontId="1" numFmtId="49" xfId="0" applyAlignment="1" applyBorder="1" applyFont="1" applyNumberFormat="1">
      <alignment horizontal="left"/>
    </xf>
    <xf borderId="6" fillId="0" fontId="2" numFmtId="0" xfId="0" applyBorder="1" applyFont="1"/>
    <xf borderId="0" fillId="0" fontId="1" numFmtId="49" xfId="0" applyFont="1" applyNumberFormat="1"/>
    <xf borderId="6" fillId="0" fontId="4" numFmtId="0" xfId="0" applyAlignment="1" applyBorder="1" applyFont="1">
      <alignment horizontal="center"/>
    </xf>
    <xf borderId="6" fillId="0" fontId="4" numFmtId="49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7" fillId="0" fontId="3" numFmtId="49" xfId="0" applyBorder="1" applyFont="1" applyNumberFormat="1"/>
    <xf borderId="7" fillId="0" fontId="3" numFmtId="0" xfId="0" applyAlignment="1" applyBorder="1" applyFont="1">
      <alignment horizontal="left"/>
    </xf>
    <xf borderId="7" fillId="0" fontId="3" numFmtId="164" xfId="0" applyBorder="1" applyFont="1" applyNumberFormat="1"/>
    <xf borderId="7" fillId="0" fontId="3" numFmtId="165" xfId="0" applyBorder="1" applyFont="1" applyNumberFormat="1"/>
    <xf borderId="0" fillId="0" fontId="3" numFmtId="164" xfId="0" applyFont="1" applyNumberFormat="1"/>
    <xf borderId="0" fillId="0" fontId="3" numFmtId="49" xfId="0" applyFont="1" applyNumberFormat="1"/>
    <xf borderId="1" fillId="0" fontId="1" numFmtId="49" xfId="0" applyAlignment="1" applyBorder="1" applyFont="1" applyNumberFormat="1">
      <alignment horizontal="center"/>
    </xf>
    <xf borderId="7" fillId="0" fontId="1" numFmtId="165" xfId="0" applyBorder="1" applyFont="1" applyNumberFormat="1"/>
    <xf borderId="7" fillId="2" fontId="1" numFmtId="165" xfId="0" applyBorder="1" applyFill="1" applyFont="1" applyNumberFormat="1"/>
    <xf borderId="0" fillId="0" fontId="5" numFmtId="0" xfId="0" applyFont="1"/>
    <xf borderId="0" fillId="0" fontId="1" numFmtId="49" xfId="0" applyAlignment="1" applyFont="1" applyNumberFormat="1">
      <alignment horizontal="center"/>
    </xf>
    <xf borderId="0" fillId="0" fontId="3" numFmtId="0" xfId="0" applyFont="1"/>
    <xf borderId="0" fillId="0" fontId="1" numFmtId="165" xfId="0" applyFont="1" applyNumberFormat="1"/>
    <xf borderId="0" fillId="0" fontId="3" numFmtId="165" xfId="0" applyFont="1" applyNumberFormat="1"/>
    <xf borderId="4" fillId="0" fontId="1" numFmtId="0" xfId="0" applyAlignment="1" applyBorder="1" applyFont="1">
      <alignment horizontal="center"/>
    </xf>
    <xf borderId="0" fillId="0" fontId="4" numFmtId="164" xfId="0" applyFont="1" applyNumberFormat="1"/>
    <xf borderId="7" fillId="0" fontId="3" numFmtId="165" xfId="0" applyAlignment="1" applyBorder="1" applyFont="1" applyNumberFormat="1">
      <alignment horizontal="right"/>
    </xf>
    <xf borderId="0" fillId="0" fontId="1" numFmtId="164" xfId="0" applyFont="1" applyNumberFormat="1"/>
    <xf borderId="0" fillId="0" fontId="4" numFmtId="49" xfId="0" applyFont="1" applyNumberFormat="1"/>
    <xf borderId="7" fillId="0" fontId="1" numFmtId="165" xfId="0" applyAlignment="1" applyBorder="1" applyFont="1" applyNumberFormat="1">
      <alignment horizontal="right"/>
    </xf>
    <xf borderId="8" fillId="2" fontId="1" numFmtId="165" xfId="0" applyAlignment="1" applyBorder="1" applyFont="1" applyNumberFormat="1">
      <alignment horizontal="right"/>
    </xf>
    <xf borderId="1" fillId="0" fontId="3" numFmtId="49" xfId="0" applyAlignment="1" applyBorder="1" applyFont="1" applyNumberFormat="1">
      <alignment horizontal="center"/>
    </xf>
    <xf borderId="7" fillId="0" fontId="6" numFmtId="165" xfId="0" applyBorder="1" applyFont="1" applyNumberFormat="1"/>
    <xf borderId="1" fillId="0" fontId="6" numFmtId="165" xfId="0" applyBorder="1" applyFont="1" applyNumberFormat="1"/>
    <xf borderId="7" fillId="0" fontId="4" numFmtId="49" xfId="0" applyBorder="1" applyFont="1" applyNumberFormat="1"/>
    <xf borderId="1" fillId="0" fontId="1" numFmtId="165" xfId="0" applyBorder="1" applyFont="1" applyNumberFormat="1"/>
    <xf borderId="0" fillId="0" fontId="7" numFmtId="164" xfId="0" applyFont="1" applyNumberFormat="1"/>
    <xf borderId="0" fillId="0" fontId="6" numFmtId="164" xfId="0" applyFont="1" applyNumberFormat="1"/>
    <xf borderId="0" fillId="0" fontId="1" numFmtId="166" xfId="0" applyFont="1" applyNumberFormat="1"/>
    <xf borderId="7" fillId="0" fontId="3" numFmtId="0" xfId="0" applyBorder="1" applyFont="1"/>
    <xf borderId="9" fillId="0" fontId="1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7" fillId="0" fontId="4" numFmtId="0" xfId="0" applyAlignment="1" applyBorder="1" applyFont="1">
      <alignment horizontal="center"/>
    </xf>
    <xf borderId="7" fillId="0" fontId="4" numFmtId="49" xfId="0" applyAlignment="1" applyBorder="1" applyFont="1" applyNumberFormat="1">
      <alignment horizontal="center"/>
    </xf>
    <xf borderId="7" fillId="2" fontId="1" numFmtId="165" xfId="0" applyAlignment="1" applyBorder="1" applyFont="1" applyNumberFormat="1">
      <alignment horizontal="right"/>
    </xf>
    <xf borderId="0" fillId="0" fontId="4" numFmtId="165" xfId="0" applyFont="1" applyNumberFormat="1"/>
    <xf borderId="0" fillId="0" fontId="3" numFmtId="49" xfId="0" applyAlignment="1" applyFont="1" applyNumberFormat="1">
      <alignment shrinkToFit="0" wrapText="1"/>
    </xf>
    <xf borderId="0" fillId="0" fontId="4" numFmtId="165" xfId="0" applyAlignment="1" applyFont="1" applyNumberFormat="1">
      <alignment vertical="center"/>
    </xf>
    <xf borderId="8" fillId="3" fontId="1" numFmtId="165" xfId="0" applyBorder="1" applyFill="1" applyFont="1" applyNumberFormat="1"/>
    <xf borderId="1" fillId="0" fontId="3" numFmtId="49" xfId="0" applyAlignment="1" applyBorder="1" applyFont="1" applyNumberFormat="1">
      <alignment horizontal="center" shrinkToFit="0" wrapText="1"/>
    </xf>
    <xf borderId="1" fillId="0" fontId="3" numFmtId="165" xfId="0" applyBorder="1" applyFont="1" applyNumberFormat="1"/>
    <xf borderId="7" fillId="0" fontId="1" numFmtId="49" xfId="0" applyBorder="1" applyFont="1" applyNumberFormat="1"/>
    <xf borderId="12" fillId="4" fontId="8" numFmtId="49" xfId="0" applyAlignment="1" applyBorder="1" applyFill="1" applyFont="1" applyNumberFormat="1">
      <alignment shrinkToFit="0" wrapText="1"/>
    </xf>
    <xf borderId="12" fillId="4" fontId="8" numFmtId="0" xfId="0" applyAlignment="1" applyBorder="1" applyFont="1">
      <alignment shrinkToFit="0" wrapText="1"/>
    </xf>
    <xf borderId="12" fillId="4" fontId="8" numFmtId="166" xfId="0" applyAlignment="1" applyBorder="1" applyFont="1" applyNumberFormat="1">
      <alignment horizontal="right" shrinkToFit="0" wrapText="1"/>
    </xf>
    <xf borderId="0" fillId="0" fontId="3" numFmtId="0" xfId="0" applyAlignment="1" applyFont="1">
      <alignment horizontal="center"/>
    </xf>
    <xf borderId="0" fillId="0" fontId="4" numFmtId="49" xfId="0" applyAlignment="1" applyFont="1" applyNumberFormat="1">
      <alignment horizontal="center"/>
    </xf>
    <xf borderId="12" fillId="2" fontId="1" numFmtId="165" xfId="0" applyBorder="1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left"/>
    </xf>
    <xf borderId="7" fillId="0" fontId="1" numFmtId="0" xfId="0" applyBorder="1" applyFont="1"/>
    <xf borderId="0" fillId="0" fontId="6" numFmtId="0" xfId="0" applyFont="1"/>
    <xf borderId="0" fillId="0" fontId="4" numFmtId="0" xfId="0" applyFont="1"/>
    <xf borderId="7" fillId="0" fontId="1" numFmtId="165" xfId="0" applyAlignment="1" applyBorder="1" applyFont="1" applyNumberFormat="1">
      <alignment horizontal="center"/>
    </xf>
    <xf borderId="7" fillId="2" fontId="1" numFmtId="165" xfId="0" applyAlignment="1" applyBorder="1" applyFont="1" applyNumberFormat="1">
      <alignment horizontal="center"/>
    </xf>
    <xf borderId="12" fillId="4" fontId="9" numFmtId="0" xfId="0" applyAlignment="1" applyBorder="1" applyFont="1">
      <alignment shrinkToFit="0" wrapText="1"/>
    </xf>
    <xf borderId="12" fillId="4" fontId="10" numFmtId="0" xfId="0" applyAlignment="1" applyBorder="1" applyFont="1">
      <alignment horizontal="center" shrinkToFit="0" wrapText="1"/>
    </xf>
    <xf borderId="12" fillId="4" fontId="9" numFmtId="166" xfId="0" applyAlignment="1" applyBorder="1" applyFont="1" applyNumberFormat="1">
      <alignment horizontal="right" shrinkToFit="0" wrapText="1"/>
    </xf>
    <xf borderId="7" fillId="3" fontId="1" numFmtId="165" xfId="0" applyBorder="1" applyFont="1" applyNumberFormat="1"/>
    <xf borderId="0" fillId="0" fontId="6" numFmtId="165" xfId="0" applyFont="1" applyNumberFormat="1"/>
    <xf borderId="0" fillId="0" fontId="4" numFmtId="166" xfId="0" applyFont="1" applyNumberFormat="1"/>
    <xf borderId="1" fillId="0" fontId="5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7" fillId="0" fontId="6" numFmtId="166" xfId="0" applyAlignment="1" applyBorder="1" applyFont="1" applyNumberFormat="1">
      <alignment horizontal="center"/>
    </xf>
    <xf borderId="7" fillId="0" fontId="5" numFmtId="0" xfId="0" applyAlignment="1" applyBorder="1" applyFont="1">
      <alignment horizontal="center"/>
    </xf>
    <xf borderId="7" fillId="0" fontId="11" numFmtId="166" xfId="0" applyAlignment="1" applyBorder="1" applyFont="1" applyNumberFormat="1">
      <alignment horizontal="center"/>
    </xf>
    <xf borderId="13" fillId="0" fontId="12" numFmtId="0" xfId="0" applyAlignment="1" applyBorder="1" applyFont="1">
      <alignment horizontal="center" vertical="center"/>
    </xf>
    <xf borderId="14" fillId="0" fontId="2" numFmtId="0" xfId="0" applyBorder="1" applyFont="1"/>
    <xf borderId="9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4" fillId="0" fontId="5" numFmtId="0" xfId="0" applyAlignment="1" applyBorder="1" applyFont="1">
      <alignment horizontal="center"/>
    </xf>
    <xf borderId="4" fillId="0" fontId="11" numFmtId="166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7" fillId="5" fontId="3" numFmtId="0" xfId="0" applyBorder="1" applyFill="1" applyFont="1"/>
    <xf borderId="7" fillId="5" fontId="3" numFmtId="14" xfId="0" applyAlignment="1" applyBorder="1" applyFont="1" applyNumberFormat="1">
      <alignment horizontal="center"/>
    </xf>
    <xf borderId="7" fillId="5" fontId="3" numFmtId="165" xfId="0" applyBorder="1" applyFont="1" applyNumberFormat="1"/>
    <xf borderId="7" fillId="5" fontId="6" numFmtId="165" xfId="0" applyBorder="1" applyFont="1" applyNumberFormat="1"/>
    <xf borderId="7" fillId="5" fontId="3" numFmtId="0" xfId="0" applyAlignment="1" applyBorder="1" applyFont="1">
      <alignment horizont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7" fillId="5" fontId="3" numFmtId="0" xfId="0" applyAlignment="1" applyBorder="1" applyFont="1">
      <alignment shrinkToFit="0" wrapText="1"/>
    </xf>
    <xf borderId="7" fillId="6" fontId="3" numFmtId="0" xfId="0" applyBorder="1" applyFill="1" applyFont="1"/>
    <xf borderId="7" fillId="6" fontId="3" numFmtId="14" xfId="0" applyAlignment="1" applyBorder="1" applyFont="1" applyNumberFormat="1">
      <alignment horizontal="center"/>
    </xf>
    <xf borderId="7" fillId="6" fontId="3" numFmtId="165" xfId="0" applyBorder="1" applyFont="1" applyNumberFormat="1"/>
    <xf borderId="7" fillId="6" fontId="6" numFmtId="165" xfId="0" applyBorder="1" applyFont="1" applyNumberFormat="1"/>
    <xf borderId="7" fillId="6" fontId="3" numFmtId="0" xfId="0" applyAlignment="1" applyBorder="1" applyFont="1">
      <alignment horizontal="center"/>
    </xf>
    <xf borderId="7" fillId="7" fontId="3" numFmtId="0" xfId="0" applyBorder="1" applyFill="1" applyFont="1"/>
    <xf borderId="7" fillId="7" fontId="3" numFmtId="14" xfId="0" applyAlignment="1" applyBorder="1" applyFont="1" applyNumberFormat="1">
      <alignment horizontal="center"/>
    </xf>
    <xf borderId="7" fillId="7" fontId="3" numFmtId="165" xfId="0" applyBorder="1" applyFont="1" applyNumberFormat="1"/>
    <xf borderId="7" fillId="7" fontId="6" numFmtId="165" xfId="0" applyBorder="1" applyFont="1" applyNumberFormat="1"/>
    <xf borderId="7" fillId="7" fontId="3" numFmtId="0" xfId="0" applyAlignment="1" applyBorder="1" applyFont="1">
      <alignment horizontal="center"/>
    </xf>
    <xf borderId="0" fillId="0" fontId="3" numFmtId="0" xfId="0" applyAlignment="1" applyFont="1">
      <alignment horizontal="center" shrinkToFit="0" wrapText="1"/>
    </xf>
    <xf borderId="7" fillId="8" fontId="3" numFmtId="0" xfId="0" applyBorder="1" applyFill="1" applyFont="1"/>
    <xf borderId="7" fillId="8" fontId="3" numFmtId="14" xfId="0" applyAlignment="1" applyBorder="1" applyFont="1" applyNumberFormat="1">
      <alignment horizontal="center"/>
    </xf>
    <xf borderId="7" fillId="8" fontId="3" numFmtId="165" xfId="0" applyBorder="1" applyFont="1" applyNumberFormat="1"/>
    <xf borderId="7" fillId="8" fontId="6" numFmtId="165" xfId="0" applyBorder="1" applyFont="1" applyNumberFormat="1"/>
    <xf borderId="7" fillId="8" fontId="3" numFmtId="0" xfId="0" applyAlignment="1" applyBorder="1" applyFont="1">
      <alignment horizontal="center"/>
    </xf>
    <xf borderId="7" fillId="0" fontId="3" numFmtId="14" xfId="0" applyAlignment="1" applyBorder="1" applyFont="1" applyNumberFormat="1">
      <alignment horizontal="center"/>
    </xf>
    <xf borderId="7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11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61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118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154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198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229</xdr:row>
      <xdr:rowOff>57150</xdr:rowOff>
    </xdr:from>
    <xdr:ext cx="247650" cy="95250"/>
    <xdr:sp>
      <xdr:nvSpPr>
        <xdr:cNvPr id="4" name="Shape 4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31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11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57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74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94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106</xdr:row>
      <xdr:rowOff>57150</xdr:rowOff>
    </xdr:from>
    <xdr:ext cx="247650" cy="95250"/>
    <xdr:sp>
      <xdr:nvSpPr>
        <xdr:cNvPr id="4" name="Shape 4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17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40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6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52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75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89</xdr:row>
      <xdr:rowOff>57150</xdr:rowOff>
    </xdr:from>
    <xdr:ext cx="247650" cy="95250"/>
    <xdr:sp>
      <xdr:nvSpPr>
        <xdr:cNvPr id="4" name="Shape 4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6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17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27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36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50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59</xdr:row>
      <xdr:rowOff>57150</xdr:rowOff>
    </xdr:from>
    <xdr:ext cx="247650" cy="95250"/>
    <xdr:sp>
      <xdr:nvSpPr>
        <xdr:cNvPr id="5" name="Shape 5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123825</xdr:colOff>
      <xdr:row>7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123825</xdr:colOff>
      <xdr:row>19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123825</xdr:colOff>
      <xdr:row>30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123825</xdr:colOff>
      <xdr:row>40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64</xdr:row>
      <xdr:rowOff>57150</xdr:rowOff>
    </xdr:from>
    <xdr:ext cx="247650" cy="95250"/>
    <xdr:sp>
      <xdr:nvSpPr>
        <xdr:cNvPr id="6" name="Shape 6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54</xdr:row>
      <xdr:rowOff>57150</xdr:rowOff>
    </xdr:from>
    <xdr:ext cx="247650" cy="95250"/>
    <xdr:sp>
      <xdr:nvSpPr>
        <xdr:cNvPr id="6" name="Shape 6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7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17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26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15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25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6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34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43</xdr:row>
      <xdr:rowOff>57150</xdr:rowOff>
    </xdr:from>
    <xdr:ext cx="247650" cy="95250"/>
    <xdr:sp>
      <xdr:nvSpPr>
        <xdr:cNvPr id="4" name="Shape 4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9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18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27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36</xdr:row>
      <xdr:rowOff>57150</xdr:rowOff>
    </xdr:from>
    <xdr:ext cx="247650" cy="95250"/>
    <xdr:sp>
      <xdr:nvSpPr>
        <xdr:cNvPr id="6" name="Shape 6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13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23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33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58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68</xdr:row>
      <xdr:rowOff>57150</xdr:rowOff>
    </xdr:from>
    <xdr:ext cx="247650" cy="95250"/>
    <xdr:sp>
      <xdr:nvSpPr>
        <xdr:cNvPr id="4" name="Shape 4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6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17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29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48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64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80</xdr:row>
      <xdr:rowOff>57150</xdr:rowOff>
    </xdr:from>
    <xdr:ext cx="247650" cy="95250"/>
    <xdr:sp>
      <xdr:nvSpPr>
        <xdr:cNvPr id="4" name="Shape 4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7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35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59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76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98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116</xdr:row>
      <xdr:rowOff>57150</xdr:rowOff>
    </xdr:from>
    <xdr:ext cx="247650" cy="95250"/>
    <xdr:sp>
      <xdr:nvSpPr>
        <xdr:cNvPr id="4" name="Shape 4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6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21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32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41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55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65</xdr:row>
      <xdr:rowOff>57150</xdr:rowOff>
    </xdr:from>
    <xdr:ext cx="247650" cy="95250"/>
    <xdr:sp>
      <xdr:nvSpPr>
        <xdr:cNvPr id="4" name="Shape 4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6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16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26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36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50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60</xdr:row>
      <xdr:rowOff>57150</xdr:rowOff>
    </xdr:from>
    <xdr:ext cx="247650" cy="95250"/>
    <xdr:sp>
      <xdr:nvSpPr>
        <xdr:cNvPr id="5" name="Shape 5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19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7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33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50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59</xdr:row>
      <xdr:rowOff>57150</xdr:rowOff>
    </xdr:from>
    <xdr:ext cx="247650" cy="95250"/>
    <xdr:sp>
      <xdr:nvSpPr>
        <xdr:cNvPr id="5" name="Shape 5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11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20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29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41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7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20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30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40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49</xdr:row>
      <xdr:rowOff>57150</xdr:rowOff>
    </xdr:from>
    <xdr:ext cx="247650" cy="95250"/>
    <xdr:sp>
      <xdr:nvSpPr>
        <xdr:cNvPr id="5" name="Shape 5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8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28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44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64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84</xdr:row>
      <xdr:rowOff>57150</xdr:rowOff>
    </xdr:from>
    <xdr:ext cx="247650" cy="95250"/>
    <xdr:sp>
      <xdr:nvSpPr>
        <xdr:cNvPr id="4" name="Shape 4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19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10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29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42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51</xdr:row>
      <xdr:rowOff>57150</xdr:rowOff>
    </xdr:from>
    <xdr:ext cx="247650" cy="95250"/>
    <xdr:sp>
      <xdr:nvSpPr>
        <xdr:cNvPr id="5" name="Shape 5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8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21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30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46</xdr:row>
      <xdr:rowOff>57150</xdr:rowOff>
    </xdr:from>
    <xdr:ext cx="247650" cy="95250"/>
    <xdr:sp>
      <xdr:nvSpPr>
        <xdr:cNvPr id="3" name="Shape 3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123825</xdr:colOff>
      <xdr:row>57</xdr:row>
      <xdr:rowOff>57150</xdr:rowOff>
    </xdr:from>
    <xdr:ext cx="247650" cy="95250"/>
    <xdr:sp>
      <xdr:nvSpPr>
        <xdr:cNvPr id="5" name="Shape 5"/>
        <xdr:cNvSpPr/>
      </xdr:nvSpPr>
      <xdr:spPr>
        <a:xfrm rot="10800000">
          <a:off x="5226938" y="3737138"/>
          <a:ext cx="238125" cy="85725"/>
        </a:xfrm>
        <a:prstGeom prst="rightArrow">
          <a:avLst>
            <a:gd fmla="val 50000" name="adj1"/>
            <a:gd fmla="val 50000" name="adj2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2.71"/>
    <col customWidth="1" min="3" max="3" width="7.29"/>
    <col customWidth="1" min="4" max="4" width="32.14"/>
    <col customWidth="1" min="5" max="5" width="15.86"/>
    <col customWidth="1" min="6" max="6" width="20.71"/>
    <col customWidth="1" min="7" max="7" width="24.43"/>
    <col customWidth="1" min="8" max="8" width="19.71"/>
    <col customWidth="1" min="9" max="10" width="10.71"/>
    <col customWidth="1" min="11" max="11" width="36.29"/>
    <col customWidth="1" min="12" max="12" width="14.71"/>
    <col customWidth="1" min="13" max="26" width="10.71"/>
  </cols>
  <sheetData>
    <row r="2">
      <c r="B2" s="1" t="s">
        <v>0</v>
      </c>
      <c r="C2" s="2"/>
      <c r="D2" s="3"/>
      <c r="E2" s="4"/>
      <c r="F2" s="4"/>
      <c r="G2" s="4"/>
      <c r="H2" s="5"/>
      <c r="J2" s="5"/>
      <c r="K2" s="5"/>
      <c r="L2" s="5"/>
    </row>
    <row r="3">
      <c r="B3" s="6" t="s">
        <v>1</v>
      </c>
      <c r="C3" s="2"/>
      <c r="D3" s="3"/>
      <c r="E3" s="7"/>
      <c r="F3" s="7"/>
      <c r="G3" s="7"/>
      <c r="H3" s="5"/>
      <c r="J3" s="5"/>
      <c r="K3" s="5"/>
      <c r="L3" s="5"/>
    </row>
    <row r="4">
      <c r="B4" s="8" t="s">
        <v>2</v>
      </c>
      <c r="C4" s="2"/>
      <c r="D4" s="3"/>
      <c r="E4" s="9"/>
      <c r="F4" s="9"/>
      <c r="G4" s="9"/>
      <c r="H4" s="10"/>
      <c r="J4" s="10"/>
      <c r="K4" s="10"/>
      <c r="L4" s="10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  <c r="H5" s="13"/>
      <c r="J5" s="13"/>
      <c r="K5" s="13"/>
      <c r="L5" s="13"/>
    </row>
    <row r="6">
      <c r="B6" s="14" t="s">
        <v>9</v>
      </c>
      <c r="C6" s="15">
        <v>65.0</v>
      </c>
      <c r="D6" s="16" t="s">
        <v>10</v>
      </c>
      <c r="E6" s="17">
        <v>157500.0</v>
      </c>
      <c r="F6" s="17">
        <v>90000.0</v>
      </c>
      <c r="G6" s="17">
        <v>67500.0</v>
      </c>
      <c r="H6" s="18"/>
      <c r="J6" s="19"/>
      <c r="L6" s="18"/>
    </row>
    <row r="7">
      <c r="B7" s="14" t="s">
        <v>9</v>
      </c>
      <c r="C7" s="15">
        <v>28.0</v>
      </c>
      <c r="D7" s="16" t="s">
        <v>11</v>
      </c>
      <c r="E7" s="17">
        <v>140000.0</v>
      </c>
      <c r="F7" s="17">
        <v>80000.0</v>
      </c>
      <c r="G7" s="17">
        <v>60000.0</v>
      </c>
      <c r="H7" s="18"/>
      <c r="J7" s="19"/>
      <c r="L7" s="18"/>
    </row>
    <row r="8">
      <c r="B8" s="14" t="s">
        <v>12</v>
      </c>
      <c r="C8" s="15">
        <v>32.0</v>
      </c>
      <c r="D8" s="16" t="s">
        <v>13</v>
      </c>
      <c r="E8" s="17">
        <v>245000.0</v>
      </c>
      <c r="F8" s="17">
        <v>140000.0</v>
      </c>
      <c r="G8" s="17">
        <v>105000.0</v>
      </c>
      <c r="H8" s="18"/>
      <c r="J8" s="19"/>
      <c r="L8" s="18"/>
    </row>
    <row r="9">
      <c r="B9" s="14" t="s">
        <v>14</v>
      </c>
      <c r="C9" s="15">
        <v>72.0</v>
      </c>
      <c r="D9" s="16" t="s">
        <v>15</v>
      </c>
      <c r="E9" s="17">
        <v>231000.0</v>
      </c>
      <c r="F9" s="17">
        <v>132000.0</v>
      </c>
      <c r="G9" s="17">
        <v>99000.0</v>
      </c>
      <c r="H9" s="18"/>
      <c r="J9" s="19"/>
      <c r="L9" s="18"/>
    </row>
    <row r="10">
      <c r="B10" s="14" t="s">
        <v>16</v>
      </c>
      <c r="C10" s="15">
        <v>82.0</v>
      </c>
      <c r="D10" s="16" t="s">
        <v>17</v>
      </c>
      <c r="E10" s="17">
        <v>192500.0</v>
      </c>
      <c r="F10" s="17">
        <v>110000.0</v>
      </c>
      <c r="G10" s="17">
        <v>82500.0</v>
      </c>
      <c r="H10" s="18"/>
      <c r="J10" s="19"/>
      <c r="L10" s="18"/>
    </row>
    <row r="11">
      <c r="B11" s="14" t="s">
        <v>18</v>
      </c>
      <c r="C11" s="15">
        <v>65.0</v>
      </c>
      <c r="D11" s="16" t="s">
        <v>10</v>
      </c>
      <c r="E11" s="17">
        <v>157500.0</v>
      </c>
      <c r="F11" s="17">
        <v>90000.0</v>
      </c>
      <c r="G11" s="17">
        <v>67500.0</v>
      </c>
      <c r="H11" s="18"/>
      <c r="J11" s="19"/>
      <c r="L11" s="18"/>
    </row>
    <row r="12">
      <c r="B12" s="20" t="s">
        <v>19</v>
      </c>
      <c r="C12" s="2"/>
      <c r="D12" s="3"/>
      <c r="E12" s="21">
        <f t="shared" ref="E12:G12" si="1">SUM(E6:E11)</f>
        <v>1123500</v>
      </c>
      <c r="F12" s="21">
        <f t="shared" si="1"/>
        <v>642000</v>
      </c>
      <c r="G12" s="22">
        <f t="shared" si="1"/>
        <v>481500</v>
      </c>
      <c r="H12" s="23" t="s">
        <v>20</v>
      </c>
      <c r="J12" s="19"/>
      <c r="L12" s="18"/>
    </row>
    <row r="13">
      <c r="B13" s="20" t="s">
        <v>21</v>
      </c>
      <c r="C13" s="2"/>
      <c r="D13" s="3"/>
      <c r="E13" s="21"/>
      <c r="F13" s="21">
        <f>SUM(F12)</f>
        <v>642000</v>
      </c>
      <c r="G13" s="21"/>
      <c r="H13" s="18"/>
      <c r="J13" s="19"/>
      <c r="L13" s="18"/>
    </row>
    <row r="14">
      <c r="B14" s="24"/>
      <c r="C14" s="25"/>
      <c r="D14" s="25"/>
      <c r="E14" s="26"/>
      <c r="F14" s="26"/>
      <c r="G14" s="26"/>
      <c r="H14" s="18"/>
      <c r="J14" s="19"/>
      <c r="L14" s="18"/>
    </row>
    <row r="15">
      <c r="B15" s="19"/>
      <c r="C15" s="19"/>
      <c r="D15" s="27"/>
      <c r="G15" s="19"/>
      <c r="H15" s="18"/>
      <c r="J15" s="19"/>
      <c r="L15" s="18"/>
    </row>
    <row r="16">
      <c r="B16" s="1" t="s">
        <v>0</v>
      </c>
      <c r="C16" s="2"/>
      <c r="D16" s="3"/>
      <c r="E16" s="4"/>
      <c r="F16" s="4"/>
      <c r="G16" s="28"/>
      <c r="H16" s="18"/>
      <c r="J16" s="19"/>
      <c r="L16" s="18"/>
    </row>
    <row r="17">
      <c r="B17" s="6" t="s">
        <v>1</v>
      </c>
      <c r="C17" s="2"/>
      <c r="D17" s="3"/>
      <c r="E17" s="7"/>
      <c r="F17" s="7"/>
      <c r="G17" s="7"/>
      <c r="H17" s="18"/>
      <c r="J17" s="19"/>
      <c r="L17" s="18"/>
    </row>
    <row r="18">
      <c r="B18" s="8" t="s">
        <v>22</v>
      </c>
      <c r="C18" s="2"/>
      <c r="D18" s="3"/>
      <c r="E18" s="9"/>
      <c r="F18" s="9"/>
      <c r="G18" s="9"/>
      <c r="H18" s="18"/>
      <c r="J18" s="19"/>
      <c r="L18" s="18"/>
    </row>
    <row r="19">
      <c r="B19" s="11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G19" s="12" t="s">
        <v>8</v>
      </c>
      <c r="H19" s="29"/>
      <c r="J19" s="19"/>
      <c r="L19" s="18"/>
    </row>
    <row r="20">
      <c r="B20" s="14" t="s">
        <v>23</v>
      </c>
      <c r="C20" s="15">
        <v>15.0</v>
      </c>
      <c r="D20" s="16" t="s">
        <v>24</v>
      </c>
      <c r="E20" s="30">
        <v>166250.0</v>
      </c>
      <c r="F20" s="17">
        <v>95000.0</v>
      </c>
      <c r="G20" s="30">
        <v>71250.0</v>
      </c>
      <c r="H20" s="29"/>
      <c r="J20" s="19"/>
      <c r="L20" s="18"/>
    </row>
    <row r="21">
      <c r="B21" s="14" t="s">
        <v>25</v>
      </c>
      <c r="C21" s="15">
        <v>32.0</v>
      </c>
      <c r="D21" s="16" t="s">
        <v>26</v>
      </c>
      <c r="E21" s="30">
        <v>245000.0</v>
      </c>
      <c r="F21" s="17">
        <v>140000.0</v>
      </c>
      <c r="G21" s="30">
        <v>105000.0</v>
      </c>
      <c r="H21" s="18"/>
      <c r="J21" s="19"/>
      <c r="L21" s="18"/>
    </row>
    <row r="22" ht="15.75" customHeight="1">
      <c r="B22" s="14" t="s">
        <v>27</v>
      </c>
      <c r="C22" s="15">
        <v>33.0</v>
      </c>
      <c r="D22" s="16" t="s">
        <v>28</v>
      </c>
      <c r="E22" s="30">
        <v>166250.0</v>
      </c>
      <c r="F22" s="17">
        <v>95000.0</v>
      </c>
      <c r="G22" s="30">
        <v>71250.0</v>
      </c>
      <c r="H22" s="31"/>
      <c r="J22" s="19"/>
      <c r="L22" s="18"/>
    </row>
    <row r="23" ht="15.75" customHeight="1">
      <c r="B23" s="14" t="s">
        <v>29</v>
      </c>
      <c r="C23" s="15">
        <v>28.0</v>
      </c>
      <c r="D23" s="16" t="s">
        <v>30</v>
      </c>
      <c r="E23" s="30">
        <v>157500.0</v>
      </c>
      <c r="F23" s="17">
        <v>90000.0</v>
      </c>
      <c r="G23" s="30">
        <v>67500.0</v>
      </c>
      <c r="H23" s="31"/>
      <c r="J23" s="19"/>
      <c r="L23" s="18"/>
    </row>
    <row r="24" ht="15.75" customHeight="1">
      <c r="B24" s="14" t="s">
        <v>29</v>
      </c>
      <c r="C24" s="15">
        <v>99.0</v>
      </c>
      <c r="D24" s="16" t="s">
        <v>31</v>
      </c>
      <c r="E24" s="30">
        <v>210000.0</v>
      </c>
      <c r="F24" s="17">
        <v>120000.0</v>
      </c>
      <c r="G24" s="30">
        <v>90000.0</v>
      </c>
      <c r="H24" s="31"/>
      <c r="J24" s="32"/>
      <c r="K24" s="32"/>
      <c r="L24" s="29"/>
    </row>
    <row r="25" ht="15.75" customHeight="1">
      <c r="B25" s="14" t="s">
        <v>29</v>
      </c>
      <c r="C25" s="15">
        <v>92.0</v>
      </c>
      <c r="D25" s="16" t="s">
        <v>32</v>
      </c>
      <c r="E25" s="30">
        <v>183750.0</v>
      </c>
      <c r="F25" s="17">
        <v>105000.0</v>
      </c>
      <c r="G25" s="30">
        <v>78750.0</v>
      </c>
      <c r="H25" s="29"/>
      <c r="J25" s="32"/>
      <c r="K25" s="32"/>
      <c r="L25" s="29"/>
    </row>
    <row r="26" ht="15.75" customHeight="1">
      <c r="B26" s="14" t="s">
        <v>29</v>
      </c>
      <c r="C26" s="15">
        <v>32.0</v>
      </c>
      <c r="D26" s="16" t="s">
        <v>26</v>
      </c>
      <c r="E26" s="30">
        <v>245000.0</v>
      </c>
      <c r="F26" s="17">
        <v>140000.0</v>
      </c>
      <c r="G26" s="30">
        <v>105000.0</v>
      </c>
      <c r="H26" s="29"/>
      <c r="J26" s="32"/>
      <c r="K26" s="32"/>
      <c r="L26" s="29"/>
    </row>
    <row r="27" ht="15.75" customHeight="1">
      <c r="B27" s="14" t="s">
        <v>29</v>
      </c>
      <c r="C27" s="15">
        <v>65.0</v>
      </c>
      <c r="D27" s="16" t="s">
        <v>10</v>
      </c>
      <c r="E27" s="30">
        <v>157500.0</v>
      </c>
      <c r="F27" s="17">
        <v>90000.0</v>
      </c>
      <c r="G27" s="30">
        <v>67500.0</v>
      </c>
      <c r="H27" s="29"/>
      <c r="J27" s="32"/>
      <c r="K27" s="32"/>
      <c r="L27" s="29"/>
    </row>
    <row r="28" ht="15.75" customHeight="1">
      <c r="B28" s="14" t="s">
        <v>29</v>
      </c>
      <c r="C28" s="15">
        <v>82.0</v>
      </c>
      <c r="D28" s="16" t="s">
        <v>17</v>
      </c>
      <c r="E28" s="30">
        <v>192500.0</v>
      </c>
      <c r="F28" s="17">
        <v>110000.0</v>
      </c>
      <c r="G28" s="30">
        <v>82500.0</v>
      </c>
      <c r="H28" s="18"/>
      <c r="J28" s="19"/>
      <c r="K28" s="19"/>
      <c r="L28" s="18"/>
    </row>
    <row r="29" ht="15.75" customHeight="1">
      <c r="B29" s="14" t="s">
        <v>29</v>
      </c>
      <c r="C29" s="15">
        <v>29.0</v>
      </c>
      <c r="D29" s="16" t="s">
        <v>33</v>
      </c>
      <c r="E29" s="30">
        <v>148750.0</v>
      </c>
      <c r="F29" s="17">
        <v>85000.0</v>
      </c>
      <c r="G29" s="30">
        <v>63750.0</v>
      </c>
      <c r="H29" s="18"/>
      <c r="J29" s="19"/>
      <c r="K29" s="19"/>
      <c r="L29" s="18"/>
    </row>
    <row r="30" ht="15.75" customHeight="1">
      <c r="B30" s="14" t="s">
        <v>34</v>
      </c>
      <c r="C30" s="15">
        <v>66.0</v>
      </c>
      <c r="D30" s="16" t="s">
        <v>35</v>
      </c>
      <c r="E30" s="30">
        <v>140000.0</v>
      </c>
      <c r="F30" s="17">
        <v>80000.0</v>
      </c>
      <c r="G30" s="30">
        <v>60000.0</v>
      </c>
      <c r="H30" s="18"/>
      <c r="J30" s="19"/>
      <c r="K30" s="19"/>
      <c r="L30" s="18"/>
    </row>
    <row r="31" ht="15.75" customHeight="1">
      <c r="B31" s="14" t="s">
        <v>34</v>
      </c>
      <c r="C31" s="15">
        <v>27.0</v>
      </c>
      <c r="D31" s="16" t="s">
        <v>36</v>
      </c>
      <c r="E31" s="30">
        <v>332500.0</v>
      </c>
      <c r="F31" s="17">
        <v>190000.0</v>
      </c>
      <c r="G31" s="30">
        <v>142500.0</v>
      </c>
      <c r="H31" s="18"/>
      <c r="J31" s="19"/>
      <c r="K31" s="19"/>
      <c r="L31" s="18"/>
    </row>
    <row r="32" ht="15.75" customHeight="1">
      <c r="B32" s="14" t="s">
        <v>34</v>
      </c>
      <c r="C32" s="15">
        <v>72.0</v>
      </c>
      <c r="D32" s="16" t="s">
        <v>37</v>
      </c>
      <c r="E32" s="30">
        <v>231000.0</v>
      </c>
      <c r="F32" s="17">
        <v>132000.0</v>
      </c>
      <c r="G32" s="30">
        <v>99000.0</v>
      </c>
      <c r="H32" s="31"/>
      <c r="J32" s="10"/>
      <c r="K32" s="10"/>
      <c r="L32" s="31"/>
    </row>
    <row r="33" ht="15.75" customHeight="1">
      <c r="B33" s="14" t="s">
        <v>38</v>
      </c>
      <c r="C33" s="15">
        <v>32.0</v>
      </c>
      <c r="D33" s="16" t="s">
        <v>39</v>
      </c>
      <c r="E33" s="30">
        <v>245000.0</v>
      </c>
      <c r="F33" s="17">
        <v>140000.0</v>
      </c>
      <c r="G33" s="30">
        <v>105000.0</v>
      </c>
      <c r="H33" s="31"/>
      <c r="J33" s="10"/>
      <c r="K33" s="10"/>
      <c r="L33" s="31"/>
    </row>
    <row r="34" ht="15.75" customHeight="1">
      <c r="B34" s="14" t="s">
        <v>38</v>
      </c>
      <c r="C34" s="15">
        <v>32.0</v>
      </c>
      <c r="D34" s="16" t="s">
        <v>39</v>
      </c>
      <c r="E34" s="30">
        <v>245000.0</v>
      </c>
      <c r="F34" s="17">
        <v>140000.0</v>
      </c>
      <c r="G34" s="30">
        <v>105000.0</v>
      </c>
      <c r="H34" s="31"/>
      <c r="J34" s="10"/>
      <c r="K34" s="10"/>
      <c r="L34" s="31"/>
    </row>
    <row r="35" ht="15.75" customHeight="1">
      <c r="B35" s="14" t="s">
        <v>40</v>
      </c>
      <c r="C35" s="15">
        <v>13.0</v>
      </c>
      <c r="D35" s="16" t="s">
        <v>41</v>
      </c>
      <c r="E35" s="30">
        <v>140000.0</v>
      </c>
      <c r="F35" s="17">
        <v>-80000.0</v>
      </c>
      <c r="G35" s="30">
        <v>60000.0</v>
      </c>
      <c r="H35" s="31"/>
      <c r="J35" s="10"/>
      <c r="K35" s="10"/>
      <c r="L35" s="31"/>
    </row>
    <row r="36" ht="15.75" customHeight="1">
      <c r="B36" s="14" t="s">
        <v>42</v>
      </c>
      <c r="C36" s="15">
        <v>32.0</v>
      </c>
      <c r="D36" s="16" t="s">
        <v>26</v>
      </c>
      <c r="E36" s="30">
        <v>245000.0</v>
      </c>
      <c r="F36" s="17">
        <v>140000.0</v>
      </c>
      <c r="G36" s="30">
        <v>105000.0</v>
      </c>
      <c r="H36" s="31"/>
      <c r="J36" s="10"/>
      <c r="K36" s="10"/>
      <c r="L36" s="31"/>
    </row>
    <row r="37" ht="15.75" customHeight="1">
      <c r="B37" s="14" t="s">
        <v>43</v>
      </c>
      <c r="C37" s="15">
        <v>99.0</v>
      </c>
      <c r="D37" s="16" t="s">
        <v>44</v>
      </c>
      <c r="E37" s="30">
        <v>210000.0</v>
      </c>
      <c r="F37" s="17">
        <v>120000.0</v>
      </c>
      <c r="G37" s="30">
        <v>90000.0</v>
      </c>
      <c r="H37" s="31"/>
      <c r="J37" s="10"/>
      <c r="K37" s="10"/>
      <c r="L37" s="31"/>
    </row>
    <row r="38" ht="15.75" customHeight="1">
      <c r="B38" s="14" t="s">
        <v>43</v>
      </c>
      <c r="C38" s="15">
        <v>8.0</v>
      </c>
      <c r="D38" s="16" t="s">
        <v>45</v>
      </c>
      <c r="E38" s="30">
        <v>157500.0</v>
      </c>
      <c r="F38" s="17">
        <v>90000.0</v>
      </c>
      <c r="G38" s="30">
        <v>67500.0</v>
      </c>
      <c r="H38" s="31"/>
      <c r="J38" s="10"/>
      <c r="K38" s="10"/>
      <c r="L38" s="31"/>
    </row>
    <row r="39" ht="15.75" customHeight="1">
      <c r="B39" s="14" t="s">
        <v>43</v>
      </c>
      <c r="C39" s="15">
        <v>13.0</v>
      </c>
      <c r="D39" s="16" t="s">
        <v>46</v>
      </c>
      <c r="E39" s="30">
        <v>140000.0</v>
      </c>
      <c r="F39" s="17">
        <v>80000.0</v>
      </c>
      <c r="G39" s="30">
        <v>60000.0</v>
      </c>
      <c r="H39" s="31"/>
      <c r="J39" s="10"/>
      <c r="K39" s="10"/>
      <c r="L39" s="31"/>
    </row>
    <row r="40" ht="15.75" customHeight="1">
      <c r="B40" s="14" t="s">
        <v>47</v>
      </c>
      <c r="C40" s="15">
        <v>13.0</v>
      </c>
      <c r="D40" s="16" t="s">
        <v>46</v>
      </c>
      <c r="E40" s="30">
        <v>140000.0</v>
      </c>
      <c r="F40" s="17">
        <v>80000.0</v>
      </c>
      <c r="G40" s="30">
        <v>60000.0</v>
      </c>
      <c r="H40" s="31"/>
      <c r="J40" s="10"/>
      <c r="K40" s="10"/>
      <c r="L40" s="31"/>
    </row>
    <row r="41" ht="15.75" customHeight="1">
      <c r="B41" s="14" t="s">
        <v>47</v>
      </c>
      <c r="C41" s="15">
        <v>39.0</v>
      </c>
      <c r="D41" s="16" t="s">
        <v>48</v>
      </c>
      <c r="E41" s="30">
        <v>227500.0</v>
      </c>
      <c r="F41" s="17">
        <v>130000.0</v>
      </c>
      <c r="G41" s="30">
        <v>97500.0</v>
      </c>
      <c r="H41" s="31"/>
      <c r="J41" s="10"/>
      <c r="K41" s="10"/>
      <c r="L41" s="31"/>
    </row>
    <row r="42" ht="15.75" customHeight="1">
      <c r="B42" s="14" t="s">
        <v>47</v>
      </c>
      <c r="C42" s="15">
        <v>32.0</v>
      </c>
      <c r="D42" s="16" t="s">
        <v>26</v>
      </c>
      <c r="E42" s="30">
        <v>245000.0</v>
      </c>
      <c r="F42" s="17">
        <v>140000.0</v>
      </c>
      <c r="G42" s="30">
        <v>105000.0</v>
      </c>
      <c r="H42" s="31"/>
      <c r="J42" s="10"/>
      <c r="K42" s="10"/>
      <c r="L42" s="31"/>
    </row>
    <row r="43" ht="15.75" customHeight="1">
      <c r="B43" s="14" t="s">
        <v>47</v>
      </c>
      <c r="C43" s="15">
        <v>66.0</v>
      </c>
      <c r="D43" s="16" t="s">
        <v>35</v>
      </c>
      <c r="E43" s="30">
        <v>140000.0</v>
      </c>
      <c r="F43" s="17">
        <v>80000.0</v>
      </c>
      <c r="G43" s="30">
        <v>60000.0</v>
      </c>
      <c r="H43" s="31"/>
      <c r="J43" s="10"/>
      <c r="K43" s="10"/>
      <c r="L43" s="31"/>
    </row>
    <row r="44" ht="15.75" customHeight="1">
      <c r="B44" s="14" t="s">
        <v>47</v>
      </c>
      <c r="C44" s="15">
        <v>72.0</v>
      </c>
      <c r="D44" s="16" t="s">
        <v>37</v>
      </c>
      <c r="E44" s="30">
        <v>231000.0</v>
      </c>
      <c r="F44" s="17">
        <v>132000.0</v>
      </c>
      <c r="G44" s="30">
        <v>99000.0</v>
      </c>
      <c r="H44" s="31"/>
      <c r="J44" s="10"/>
      <c r="K44" s="10"/>
      <c r="L44" s="31"/>
    </row>
    <row r="45" ht="15.75" customHeight="1">
      <c r="B45" s="14" t="s">
        <v>47</v>
      </c>
      <c r="C45" s="15">
        <v>88.0</v>
      </c>
      <c r="D45" s="16" t="s">
        <v>49</v>
      </c>
      <c r="E45" s="30">
        <v>157500.0</v>
      </c>
      <c r="F45" s="17">
        <v>90000.0</v>
      </c>
      <c r="G45" s="30">
        <v>67500.0</v>
      </c>
      <c r="H45" s="31"/>
      <c r="J45" s="10"/>
      <c r="K45" s="10"/>
      <c r="L45" s="31"/>
    </row>
    <row r="46" ht="15.75" customHeight="1">
      <c r="B46" s="14" t="s">
        <v>50</v>
      </c>
      <c r="C46" s="15">
        <v>85.0</v>
      </c>
      <c r="D46" s="16" t="s">
        <v>51</v>
      </c>
      <c r="E46" s="30">
        <v>350000.0</v>
      </c>
      <c r="F46" s="17">
        <v>200000.0</v>
      </c>
      <c r="G46" s="30">
        <v>150000.0</v>
      </c>
      <c r="H46" s="31"/>
      <c r="J46" s="10"/>
      <c r="K46" s="10"/>
      <c r="L46" s="31"/>
    </row>
    <row r="47" ht="15.75" customHeight="1">
      <c r="B47" s="14" t="s">
        <v>50</v>
      </c>
      <c r="C47" s="15">
        <v>85.0</v>
      </c>
      <c r="D47" s="16" t="s">
        <v>51</v>
      </c>
      <c r="E47" s="30">
        <v>350000.0</v>
      </c>
      <c r="F47" s="17">
        <v>200000.0</v>
      </c>
      <c r="G47" s="30">
        <v>150000.0</v>
      </c>
      <c r="H47" s="5"/>
    </row>
    <row r="48" ht="15.75" customHeight="1">
      <c r="B48" s="14" t="s">
        <v>52</v>
      </c>
      <c r="C48" s="15">
        <v>86.0</v>
      </c>
      <c r="D48" s="16" t="s">
        <v>53</v>
      </c>
      <c r="E48" s="30">
        <v>393750.0</v>
      </c>
      <c r="F48" s="17">
        <v>-225000.0</v>
      </c>
      <c r="G48" s="30">
        <v>168750.0</v>
      </c>
      <c r="H48" s="10"/>
    </row>
    <row r="49" ht="15.75" customHeight="1">
      <c r="B49" s="14" t="s">
        <v>52</v>
      </c>
      <c r="C49" s="15">
        <v>66.0</v>
      </c>
      <c r="D49" s="16" t="s">
        <v>35</v>
      </c>
      <c r="E49" s="30">
        <v>140000.0</v>
      </c>
      <c r="F49" s="17">
        <v>80000.0</v>
      </c>
      <c r="G49" s="30">
        <v>60000.0</v>
      </c>
      <c r="H49" s="13"/>
      <c r="J49" s="13"/>
    </row>
    <row r="50" ht="15.75" customHeight="1">
      <c r="B50" s="14" t="s">
        <v>52</v>
      </c>
      <c r="C50" s="15">
        <v>32.0</v>
      </c>
      <c r="D50" s="16" t="s">
        <v>26</v>
      </c>
      <c r="E50" s="30">
        <v>245000.0</v>
      </c>
      <c r="F50" s="17">
        <v>140000.0</v>
      </c>
      <c r="G50" s="30">
        <v>105000.0</v>
      </c>
      <c r="H50" s="18"/>
    </row>
    <row r="51" ht="15.75" customHeight="1">
      <c r="B51" s="14" t="s">
        <v>54</v>
      </c>
      <c r="C51" s="15">
        <v>16.0</v>
      </c>
      <c r="D51" s="16" t="s">
        <v>55</v>
      </c>
      <c r="E51" s="30">
        <v>157500.0</v>
      </c>
      <c r="F51" s="17">
        <v>90000.0</v>
      </c>
      <c r="G51" s="30">
        <v>67500.0</v>
      </c>
      <c r="H51" s="18"/>
    </row>
    <row r="52" ht="15.75" customHeight="1">
      <c r="B52" s="14" t="s">
        <v>56</v>
      </c>
      <c r="C52" s="15">
        <v>44.0</v>
      </c>
      <c r="D52" s="16" t="s">
        <v>57</v>
      </c>
      <c r="E52" s="30">
        <v>253750.0</v>
      </c>
      <c r="F52" s="17">
        <v>145000.0</v>
      </c>
      <c r="G52" s="30">
        <v>108750.0</v>
      </c>
      <c r="H52" s="18"/>
    </row>
    <row r="53" ht="15.75" customHeight="1">
      <c r="B53" s="14" t="s">
        <v>56</v>
      </c>
      <c r="C53" s="15">
        <v>12.0</v>
      </c>
      <c r="D53" s="16" t="s">
        <v>58</v>
      </c>
      <c r="E53" s="30">
        <v>148750.0</v>
      </c>
      <c r="F53" s="17">
        <v>85000.0</v>
      </c>
      <c r="G53" s="30">
        <v>63750.0</v>
      </c>
      <c r="H53" s="18"/>
    </row>
    <row r="54" ht="15.75" customHeight="1">
      <c r="B54" s="14" t="s">
        <v>56</v>
      </c>
      <c r="C54" s="15">
        <v>89.0</v>
      </c>
      <c r="D54" s="16" t="s">
        <v>59</v>
      </c>
      <c r="E54" s="30">
        <v>227500.0</v>
      </c>
      <c r="F54" s="17">
        <v>130000.0</v>
      </c>
      <c r="G54" s="30">
        <v>97500.0</v>
      </c>
      <c r="H54" s="18"/>
    </row>
    <row r="55" ht="15.75" customHeight="1">
      <c r="B55" s="14" t="s">
        <v>56</v>
      </c>
      <c r="C55" s="15">
        <v>92.0</v>
      </c>
      <c r="D55" s="16" t="s">
        <v>32</v>
      </c>
      <c r="E55" s="30">
        <v>183750.0</v>
      </c>
      <c r="F55" s="17">
        <v>105000.0</v>
      </c>
      <c r="G55" s="30">
        <v>78750.0</v>
      </c>
      <c r="H55" s="18"/>
    </row>
    <row r="56" ht="15.75" customHeight="1">
      <c r="B56" s="14" t="s">
        <v>60</v>
      </c>
      <c r="C56" s="15">
        <v>99.0</v>
      </c>
      <c r="D56" s="16" t="s">
        <v>44</v>
      </c>
      <c r="E56" s="30">
        <v>210000.0</v>
      </c>
      <c r="F56" s="17">
        <v>120000.0</v>
      </c>
      <c r="G56" s="30">
        <v>90000.0</v>
      </c>
      <c r="H56" s="18"/>
    </row>
    <row r="57" ht="15.75" customHeight="1">
      <c r="B57" s="14" t="s">
        <v>60</v>
      </c>
      <c r="C57" s="15">
        <v>92.0</v>
      </c>
      <c r="D57" s="16" t="s">
        <v>32</v>
      </c>
      <c r="E57" s="30">
        <v>183750.0</v>
      </c>
      <c r="F57" s="17">
        <v>105000.0</v>
      </c>
      <c r="G57" s="30">
        <v>78750.0</v>
      </c>
      <c r="H57" s="18"/>
    </row>
    <row r="58" ht="15.75" customHeight="1">
      <c r="B58" s="14" t="s">
        <v>60</v>
      </c>
      <c r="C58" s="15">
        <v>32.0</v>
      </c>
      <c r="D58" s="16" t="s">
        <v>26</v>
      </c>
      <c r="E58" s="30">
        <v>245000.0</v>
      </c>
      <c r="F58" s="17">
        <v>140000.0</v>
      </c>
      <c r="G58" s="30">
        <v>105000.0</v>
      </c>
      <c r="H58" s="18"/>
    </row>
    <row r="59" ht="15.75" customHeight="1">
      <c r="B59" s="14" t="s">
        <v>60</v>
      </c>
      <c r="C59" s="15">
        <v>33.0</v>
      </c>
      <c r="D59" s="16" t="s">
        <v>61</v>
      </c>
      <c r="E59" s="30">
        <v>166250.0</v>
      </c>
      <c r="F59" s="17">
        <v>95000.0</v>
      </c>
      <c r="G59" s="30">
        <v>71250.0</v>
      </c>
      <c r="H59" s="18"/>
    </row>
    <row r="60" ht="15.75" customHeight="1">
      <c r="B60" s="14" t="s">
        <v>60</v>
      </c>
      <c r="C60" s="15">
        <v>92.0</v>
      </c>
      <c r="D60" s="16" t="s">
        <v>32</v>
      </c>
      <c r="E60" s="30">
        <v>183750.0</v>
      </c>
      <c r="F60" s="17">
        <v>105000.0</v>
      </c>
      <c r="G60" s="30">
        <v>78750.0</v>
      </c>
      <c r="H60" s="18"/>
    </row>
    <row r="61" ht="15.75" customHeight="1">
      <c r="B61" s="14" t="s">
        <v>60</v>
      </c>
      <c r="C61" s="15">
        <v>92.0</v>
      </c>
      <c r="D61" s="16" t="s">
        <v>32</v>
      </c>
      <c r="E61" s="30">
        <v>183750.0</v>
      </c>
      <c r="F61" s="17">
        <v>105000.0</v>
      </c>
      <c r="G61" s="30">
        <v>78750.0</v>
      </c>
      <c r="H61" s="18"/>
    </row>
    <row r="62" ht="15.75" customHeight="1">
      <c r="B62" s="20" t="s">
        <v>19</v>
      </c>
      <c r="C62" s="2"/>
      <c r="D62" s="3"/>
      <c r="E62" s="33">
        <f>SUM(E20:E61)</f>
        <v>8722000</v>
      </c>
      <c r="F62" s="21">
        <v>4984000.0</v>
      </c>
      <c r="G62" s="34">
        <f>SUM(G20:G61)</f>
        <v>3738000</v>
      </c>
      <c r="H62" s="23" t="s">
        <v>20</v>
      </c>
    </row>
    <row r="63" ht="15.75" customHeight="1">
      <c r="B63" s="35" t="s">
        <v>62</v>
      </c>
      <c r="C63" s="2"/>
      <c r="D63" s="3"/>
      <c r="E63" s="36"/>
      <c r="F63" s="37">
        <v>-305000.0</v>
      </c>
      <c r="G63" s="38"/>
      <c r="H63" s="29"/>
    </row>
    <row r="64" ht="15.75" customHeight="1">
      <c r="B64" s="20" t="s">
        <v>63</v>
      </c>
      <c r="C64" s="2"/>
      <c r="D64" s="3"/>
      <c r="E64" s="21"/>
      <c r="F64" s="39">
        <f>SUM(F62:F63)</f>
        <v>4679000</v>
      </c>
      <c r="G64" s="14"/>
      <c r="H64" s="40"/>
    </row>
    <row r="65" ht="15.75" customHeight="1">
      <c r="B65" s="19"/>
      <c r="D65" s="27"/>
      <c r="G65" s="10"/>
      <c r="H65" s="31"/>
    </row>
    <row r="66" ht="15.75" customHeight="1">
      <c r="B66" s="32"/>
      <c r="C66" s="19"/>
      <c r="D66" s="26"/>
      <c r="H66" s="18"/>
    </row>
    <row r="67" ht="15.75" customHeight="1">
      <c r="B67" s="1" t="s">
        <v>0</v>
      </c>
      <c r="C67" s="2"/>
      <c r="D67" s="3"/>
      <c r="E67" s="4"/>
      <c r="F67" s="4"/>
      <c r="G67" s="4"/>
      <c r="H67" s="5"/>
    </row>
    <row r="68" ht="14.25" customHeight="1">
      <c r="B68" s="6" t="s">
        <v>1</v>
      </c>
      <c r="C68" s="2"/>
      <c r="D68" s="3"/>
      <c r="E68" s="7"/>
      <c r="F68" s="7"/>
      <c r="G68" s="7"/>
      <c r="H68" s="5"/>
    </row>
    <row r="69" ht="15.75" customHeight="1">
      <c r="B69" s="8" t="s">
        <v>64</v>
      </c>
      <c r="C69" s="2"/>
      <c r="D69" s="3"/>
      <c r="E69" s="9"/>
      <c r="F69" s="9"/>
      <c r="G69" s="9"/>
      <c r="H69" s="10"/>
    </row>
    <row r="70" ht="15.75" customHeight="1">
      <c r="B70" s="11" t="s">
        <v>3</v>
      </c>
      <c r="C70" s="11" t="s">
        <v>4</v>
      </c>
      <c r="D70" s="11" t="s">
        <v>5</v>
      </c>
      <c r="E70" s="11" t="s">
        <v>6</v>
      </c>
      <c r="F70" s="11" t="s">
        <v>7</v>
      </c>
      <c r="G70" s="12" t="s">
        <v>8</v>
      </c>
      <c r="H70" s="13"/>
    </row>
    <row r="71" ht="15.75" customHeight="1">
      <c r="B71" s="14" t="s">
        <v>65</v>
      </c>
      <c r="C71" s="15">
        <v>27.0</v>
      </c>
      <c r="D71" s="16" t="s">
        <v>36</v>
      </c>
      <c r="E71" s="30">
        <v>350000.0</v>
      </c>
      <c r="F71" s="17">
        <v>200000.0</v>
      </c>
      <c r="G71" s="30">
        <v>150000.0</v>
      </c>
      <c r="H71" s="18"/>
    </row>
    <row r="72" ht="15.75" customHeight="1">
      <c r="B72" s="14" t="s">
        <v>65</v>
      </c>
      <c r="C72" s="15">
        <v>11.0</v>
      </c>
      <c r="D72" s="16" t="s">
        <v>66</v>
      </c>
      <c r="E72" s="30">
        <v>140000.0</v>
      </c>
      <c r="F72" s="17">
        <v>80000.0</v>
      </c>
      <c r="G72" s="30">
        <v>60000.0</v>
      </c>
      <c r="H72" s="18"/>
    </row>
    <row r="73" ht="15.75" customHeight="1">
      <c r="B73" s="14" t="s">
        <v>65</v>
      </c>
      <c r="C73" s="15">
        <v>12.0</v>
      </c>
      <c r="D73" s="16" t="s">
        <v>58</v>
      </c>
      <c r="E73" s="30">
        <v>148750.0</v>
      </c>
      <c r="F73" s="17">
        <v>85000.0</v>
      </c>
      <c r="G73" s="30">
        <v>63750.0</v>
      </c>
      <c r="H73" s="18"/>
    </row>
    <row r="74" ht="15.75" customHeight="1">
      <c r="B74" s="14" t="s">
        <v>67</v>
      </c>
      <c r="C74" s="15">
        <v>12.0</v>
      </c>
      <c r="D74" s="16" t="s">
        <v>58</v>
      </c>
      <c r="E74" s="30">
        <v>175000.0</v>
      </c>
      <c r="F74" s="17">
        <v>85000.0</v>
      </c>
      <c r="G74" s="30">
        <v>75000.0</v>
      </c>
      <c r="H74" s="18"/>
    </row>
    <row r="75" ht="15.75" customHeight="1">
      <c r="B75" s="14" t="s">
        <v>67</v>
      </c>
      <c r="C75" s="15">
        <v>89.0</v>
      </c>
      <c r="D75" s="16" t="s">
        <v>59</v>
      </c>
      <c r="E75" s="30">
        <v>245000.0</v>
      </c>
      <c r="F75" s="17">
        <v>140000.0</v>
      </c>
      <c r="G75" s="30">
        <v>105000.0</v>
      </c>
      <c r="H75" s="18"/>
    </row>
    <row r="76" ht="15.75" customHeight="1">
      <c r="B76" s="14" t="s">
        <v>68</v>
      </c>
      <c r="C76" s="15">
        <v>87.0</v>
      </c>
      <c r="D76" s="16" t="s">
        <v>69</v>
      </c>
      <c r="E76" s="30">
        <v>10000.0</v>
      </c>
      <c r="F76" s="17">
        <v>10000.0</v>
      </c>
      <c r="G76" s="30">
        <v>0.0</v>
      </c>
      <c r="H76" s="18"/>
    </row>
    <row r="77" ht="15.75" customHeight="1">
      <c r="B77" s="14" t="s">
        <v>70</v>
      </c>
      <c r="C77" s="15">
        <v>65.0</v>
      </c>
      <c r="D77" s="16" t="s">
        <v>10</v>
      </c>
      <c r="E77" s="30">
        <v>175000.0</v>
      </c>
      <c r="F77" s="17">
        <v>100000.0</v>
      </c>
      <c r="G77" s="30">
        <v>75000.0</v>
      </c>
      <c r="H77" s="18"/>
    </row>
    <row r="78" ht="15.75" customHeight="1">
      <c r="B78" s="14" t="s">
        <v>70</v>
      </c>
      <c r="C78" s="15">
        <v>85.0</v>
      </c>
      <c r="D78" s="16" t="s">
        <v>51</v>
      </c>
      <c r="E78" s="30">
        <v>350000.0</v>
      </c>
      <c r="F78" s="17">
        <v>200000.0</v>
      </c>
      <c r="G78" s="30">
        <v>150000.0</v>
      </c>
      <c r="H78" s="18"/>
    </row>
    <row r="79" ht="15.75" customHeight="1">
      <c r="B79" s="14" t="s">
        <v>70</v>
      </c>
      <c r="C79" s="15">
        <v>81.0</v>
      </c>
      <c r="D79" s="16" t="s">
        <v>71</v>
      </c>
      <c r="E79" s="30">
        <v>227500.0</v>
      </c>
      <c r="F79" s="17">
        <v>130000.0</v>
      </c>
      <c r="G79" s="30">
        <v>97500.0</v>
      </c>
      <c r="H79" s="18"/>
    </row>
    <row r="80" ht="15.75" customHeight="1">
      <c r="B80" s="14" t="s">
        <v>72</v>
      </c>
      <c r="C80" s="15">
        <v>89.0</v>
      </c>
      <c r="D80" s="16" t="s">
        <v>59</v>
      </c>
      <c r="E80" s="30">
        <v>245000.0</v>
      </c>
      <c r="F80" s="17">
        <v>140000.0</v>
      </c>
      <c r="G80" s="30">
        <v>105000.0</v>
      </c>
      <c r="H80" s="18"/>
    </row>
    <row r="81" ht="14.25" customHeight="1">
      <c r="B81" s="14" t="s">
        <v>73</v>
      </c>
      <c r="C81" s="15">
        <v>13.0</v>
      </c>
      <c r="D81" s="16" t="s">
        <v>74</v>
      </c>
      <c r="E81" s="30">
        <v>157500.0</v>
      </c>
      <c r="F81" s="17">
        <v>90000.0</v>
      </c>
      <c r="G81" s="30">
        <v>67500.0</v>
      </c>
      <c r="H81" s="18"/>
    </row>
    <row r="82" ht="15.75" customHeight="1">
      <c r="B82" s="14" t="s">
        <v>73</v>
      </c>
      <c r="C82" s="15">
        <v>88.0</v>
      </c>
      <c r="D82" s="16" t="s">
        <v>49</v>
      </c>
      <c r="E82" s="30">
        <v>175000.0</v>
      </c>
      <c r="F82" s="17">
        <v>100000.0</v>
      </c>
      <c r="G82" s="30">
        <v>75000.0</v>
      </c>
      <c r="H82" s="18"/>
    </row>
    <row r="83" ht="15.75" customHeight="1">
      <c r="B83" s="14" t="s">
        <v>73</v>
      </c>
      <c r="C83" s="15">
        <v>72.0</v>
      </c>
      <c r="D83" s="16" t="s">
        <v>75</v>
      </c>
      <c r="E83" s="30">
        <v>236250.0</v>
      </c>
      <c r="F83" s="17">
        <v>135000.0</v>
      </c>
      <c r="G83" s="30">
        <v>101250.0</v>
      </c>
      <c r="H83" s="18"/>
    </row>
    <row r="84" ht="15.75" customHeight="1">
      <c r="B84" s="14" t="s">
        <v>73</v>
      </c>
      <c r="C84" s="15">
        <v>3.0</v>
      </c>
      <c r="D84" s="16" t="s">
        <v>76</v>
      </c>
      <c r="E84" s="30">
        <v>183750.0</v>
      </c>
      <c r="F84" s="17">
        <v>105000.0</v>
      </c>
      <c r="G84" s="30">
        <v>78750.0</v>
      </c>
      <c r="H84" s="18"/>
      <c r="I84" s="18"/>
    </row>
    <row r="85" ht="15.75" customHeight="1">
      <c r="B85" s="14" t="s">
        <v>73</v>
      </c>
      <c r="C85" s="15">
        <v>26.0</v>
      </c>
      <c r="D85" s="16" t="s">
        <v>77</v>
      </c>
      <c r="E85" s="30">
        <v>157500.0</v>
      </c>
      <c r="F85" s="17">
        <v>90000.0</v>
      </c>
      <c r="G85" s="30">
        <v>67500.0</v>
      </c>
      <c r="H85" s="29"/>
    </row>
    <row r="86" ht="15.75" customHeight="1">
      <c r="B86" s="14" t="s">
        <v>73</v>
      </c>
      <c r="C86" s="15">
        <v>44.0</v>
      </c>
      <c r="D86" s="16" t="s">
        <v>57</v>
      </c>
      <c r="E86" s="30">
        <v>271250.0</v>
      </c>
      <c r="F86" s="17">
        <v>155000.0</v>
      </c>
      <c r="G86" s="30">
        <v>116250.0</v>
      </c>
      <c r="H86" s="41"/>
    </row>
    <row r="87" ht="15.75" customHeight="1">
      <c r="B87" s="14" t="s">
        <v>78</v>
      </c>
      <c r="C87" s="15">
        <v>99.0</v>
      </c>
      <c r="D87" s="16" t="s">
        <v>79</v>
      </c>
      <c r="E87" s="30">
        <v>236250.0</v>
      </c>
      <c r="F87" s="17">
        <v>135000.0</v>
      </c>
      <c r="G87" s="30">
        <v>101250.0</v>
      </c>
      <c r="H87" s="42"/>
    </row>
    <row r="88" ht="15.75" customHeight="1">
      <c r="B88" s="14" t="s">
        <v>78</v>
      </c>
      <c r="C88" s="15">
        <v>88.0</v>
      </c>
      <c r="D88" s="16" t="s">
        <v>49</v>
      </c>
      <c r="E88" s="30">
        <v>175000.0</v>
      </c>
      <c r="F88" s="17">
        <v>100000.0</v>
      </c>
      <c r="G88" s="30">
        <v>75000.0</v>
      </c>
    </row>
    <row r="89" ht="15.75" customHeight="1">
      <c r="B89" s="14" t="s">
        <v>78</v>
      </c>
      <c r="C89" s="15">
        <v>89.0</v>
      </c>
      <c r="D89" s="16" t="s">
        <v>80</v>
      </c>
      <c r="E89" s="30">
        <v>183750.0</v>
      </c>
      <c r="F89" s="17">
        <v>105000.0</v>
      </c>
      <c r="G89" s="30">
        <v>78750.0</v>
      </c>
      <c r="H89" s="5"/>
    </row>
    <row r="90" ht="15.75" customHeight="1">
      <c r="B90" s="14" t="s">
        <v>78</v>
      </c>
      <c r="C90" s="15">
        <v>74.0</v>
      </c>
      <c r="D90" s="16" t="s">
        <v>81</v>
      </c>
      <c r="E90" s="30">
        <v>262500.0</v>
      </c>
      <c r="F90" s="17">
        <v>150000.0</v>
      </c>
      <c r="G90" s="30">
        <v>112500.0</v>
      </c>
      <c r="H90" s="5"/>
    </row>
    <row r="91" ht="15.75" customHeight="1">
      <c r="B91" s="14" t="s">
        <v>78</v>
      </c>
      <c r="C91" s="15">
        <v>85.0</v>
      </c>
      <c r="D91" s="16" t="s">
        <v>51</v>
      </c>
      <c r="E91" s="30">
        <v>350000.0</v>
      </c>
      <c r="F91" s="17">
        <v>200000.0</v>
      </c>
      <c r="G91" s="30">
        <v>150000.0</v>
      </c>
      <c r="H91" s="10"/>
    </row>
    <row r="92" ht="15.75" customHeight="1">
      <c r="B92" s="14" t="s">
        <v>78</v>
      </c>
      <c r="C92" s="15">
        <v>29.0</v>
      </c>
      <c r="D92" s="16" t="s">
        <v>33</v>
      </c>
      <c r="E92" s="30">
        <v>175000.0</v>
      </c>
      <c r="F92" s="17">
        <v>100000.0</v>
      </c>
      <c r="G92" s="30">
        <v>75000.0</v>
      </c>
      <c r="H92" s="13"/>
    </row>
    <row r="93" ht="15.75" customHeight="1">
      <c r="B93" s="14" t="s">
        <v>78</v>
      </c>
      <c r="C93" s="15">
        <v>32.0</v>
      </c>
      <c r="D93" s="16" t="s">
        <v>13</v>
      </c>
      <c r="E93" s="30">
        <v>175000.0</v>
      </c>
      <c r="F93" s="17">
        <v>150000.0</v>
      </c>
      <c r="G93" s="30">
        <v>75000.0</v>
      </c>
      <c r="H93" s="18"/>
    </row>
    <row r="94" ht="15.75" customHeight="1">
      <c r="B94" s="14" t="s">
        <v>78</v>
      </c>
      <c r="C94" s="15">
        <v>98.0</v>
      </c>
      <c r="D94" s="16" t="s">
        <v>82</v>
      </c>
      <c r="E94" s="30">
        <v>297500.0</v>
      </c>
      <c r="F94" s="17">
        <v>170000.0</v>
      </c>
      <c r="G94" s="30">
        <v>127500.0</v>
      </c>
      <c r="H94" s="18"/>
    </row>
    <row r="95" ht="15.75" customHeight="1">
      <c r="B95" s="14" t="s">
        <v>83</v>
      </c>
      <c r="C95" s="15">
        <v>92.0</v>
      </c>
      <c r="D95" s="16" t="s">
        <v>84</v>
      </c>
      <c r="E95" s="30">
        <v>192500.0</v>
      </c>
      <c r="F95" s="17">
        <v>110000.0</v>
      </c>
      <c r="G95" s="30">
        <v>82500.0</v>
      </c>
      <c r="H95" s="18"/>
    </row>
    <row r="96" ht="15.75" customHeight="1">
      <c r="B96" s="14" t="s">
        <v>83</v>
      </c>
      <c r="C96" s="15">
        <v>96.0</v>
      </c>
      <c r="D96" s="16" t="s">
        <v>85</v>
      </c>
      <c r="E96" s="30">
        <v>192500.0</v>
      </c>
      <c r="F96" s="17">
        <v>110000.0</v>
      </c>
      <c r="G96" s="30">
        <v>82500.0</v>
      </c>
      <c r="H96" s="18"/>
    </row>
    <row r="97" ht="15.75" customHeight="1">
      <c r="B97" s="14" t="s">
        <v>83</v>
      </c>
      <c r="C97" s="15">
        <v>39.0</v>
      </c>
      <c r="D97" s="16" t="s">
        <v>48</v>
      </c>
      <c r="E97" s="30">
        <v>245000.0</v>
      </c>
      <c r="F97" s="17">
        <v>140000.0</v>
      </c>
      <c r="G97" s="30">
        <v>105000.0</v>
      </c>
      <c r="H97" s="18"/>
    </row>
    <row r="98" ht="15.75" customHeight="1">
      <c r="B98" s="14" t="s">
        <v>86</v>
      </c>
      <c r="C98" s="15">
        <v>32.0</v>
      </c>
      <c r="D98" s="16" t="s">
        <v>13</v>
      </c>
      <c r="E98" s="30">
        <v>262500.0</v>
      </c>
      <c r="F98" s="17">
        <v>150000.0</v>
      </c>
      <c r="G98" s="30">
        <v>112500.0</v>
      </c>
      <c r="H98" s="18"/>
    </row>
    <row r="99" ht="15.75" customHeight="1">
      <c r="B99" s="14" t="s">
        <v>87</v>
      </c>
      <c r="C99" s="15">
        <v>81.0</v>
      </c>
      <c r="D99" s="16" t="s">
        <v>71</v>
      </c>
      <c r="E99" s="30">
        <v>227500.0</v>
      </c>
      <c r="F99" s="17">
        <v>130000.0</v>
      </c>
      <c r="G99" s="30">
        <v>97500.0</v>
      </c>
      <c r="H99" s="18"/>
    </row>
    <row r="100" ht="15.75" customHeight="1">
      <c r="B100" s="14" t="s">
        <v>87</v>
      </c>
      <c r="C100" s="15">
        <v>85.0</v>
      </c>
      <c r="D100" s="16" t="s">
        <v>51</v>
      </c>
      <c r="E100" s="30">
        <v>350000.0</v>
      </c>
      <c r="F100" s="17">
        <v>200000.0</v>
      </c>
      <c r="G100" s="30">
        <v>150000.0</v>
      </c>
      <c r="H100" s="18"/>
    </row>
    <row r="101" ht="15.75" customHeight="1">
      <c r="B101" s="14" t="s">
        <v>88</v>
      </c>
      <c r="C101" s="15">
        <v>87.0</v>
      </c>
      <c r="D101" s="16" t="s">
        <v>69</v>
      </c>
      <c r="E101" s="30">
        <v>10000.0</v>
      </c>
      <c r="F101" s="17">
        <v>10000.0</v>
      </c>
      <c r="G101" s="30">
        <v>0.0</v>
      </c>
      <c r="H101" s="18"/>
    </row>
    <row r="102" ht="15.75" customHeight="1">
      <c r="B102" s="14" t="s">
        <v>88</v>
      </c>
      <c r="C102" s="15">
        <v>99.0</v>
      </c>
      <c r="D102" s="16" t="s">
        <v>79</v>
      </c>
      <c r="E102" s="30">
        <v>236250.0</v>
      </c>
      <c r="F102" s="17">
        <v>135000.0</v>
      </c>
      <c r="G102" s="30">
        <v>101250.0</v>
      </c>
      <c r="H102" s="18"/>
    </row>
    <row r="103" ht="15.75" customHeight="1">
      <c r="B103" s="14" t="s">
        <v>89</v>
      </c>
      <c r="C103" s="15">
        <v>99.0</v>
      </c>
      <c r="D103" s="16" t="s">
        <v>79</v>
      </c>
      <c r="E103" s="30">
        <v>236250.0</v>
      </c>
      <c r="F103" s="17">
        <v>135000.0</v>
      </c>
      <c r="G103" s="30">
        <v>101250.0</v>
      </c>
      <c r="H103" s="18"/>
    </row>
    <row r="104" ht="15.75" customHeight="1">
      <c r="B104" s="14" t="s">
        <v>90</v>
      </c>
      <c r="C104" s="15">
        <v>72.0</v>
      </c>
      <c r="D104" s="16" t="s">
        <v>75</v>
      </c>
      <c r="E104" s="30">
        <v>236250.0</v>
      </c>
      <c r="F104" s="17">
        <v>135000.0</v>
      </c>
      <c r="G104" s="30">
        <v>101250.0</v>
      </c>
      <c r="H104" s="18"/>
    </row>
    <row r="105" ht="15.75" customHeight="1">
      <c r="B105" s="14" t="s">
        <v>91</v>
      </c>
      <c r="C105" s="15">
        <v>39.0</v>
      </c>
      <c r="D105" s="16" t="s">
        <v>48</v>
      </c>
      <c r="E105" s="30">
        <v>245000.0</v>
      </c>
      <c r="F105" s="17">
        <v>140000.0</v>
      </c>
      <c r="G105" s="30">
        <v>105000.0</v>
      </c>
      <c r="H105" s="18"/>
    </row>
    <row r="106" ht="15.75" customHeight="1">
      <c r="B106" s="14" t="s">
        <v>91</v>
      </c>
      <c r="C106" s="15">
        <v>39.0</v>
      </c>
      <c r="D106" s="16" t="s">
        <v>48</v>
      </c>
      <c r="E106" s="30">
        <v>245000.0</v>
      </c>
      <c r="F106" s="17">
        <v>140000.0</v>
      </c>
      <c r="G106" s="30">
        <v>105000.0</v>
      </c>
      <c r="H106" s="18"/>
    </row>
    <row r="107" ht="15.75" customHeight="1">
      <c r="B107" s="14" t="s">
        <v>91</v>
      </c>
      <c r="C107" s="15">
        <v>81.0</v>
      </c>
      <c r="D107" s="16" t="s">
        <v>71</v>
      </c>
      <c r="E107" s="30">
        <v>227500.0</v>
      </c>
      <c r="F107" s="17">
        <v>130000.0</v>
      </c>
      <c r="G107" s="30">
        <v>97500.0</v>
      </c>
      <c r="H107" s="18"/>
    </row>
    <row r="108" ht="15.75" customHeight="1">
      <c r="B108" s="14" t="s">
        <v>91</v>
      </c>
      <c r="C108" s="15">
        <v>26.0</v>
      </c>
      <c r="D108" s="16" t="s">
        <v>77</v>
      </c>
      <c r="E108" s="30">
        <v>157500.0</v>
      </c>
      <c r="F108" s="17">
        <v>90000.0</v>
      </c>
      <c r="G108" s="30">
        <v>67500.0</v>
      </c>
      <c r="H108" s="29"/>
    </row>
    <row r="109" ht="15.75" customHeight="1">
      <c r="B109" s="14" t="s">
        <v>91</v>
      </c>
      <c r="C109" s="15">
        <v>12.0</v>
      </c>
      <c r="D109" s="16" t="s">
        <v>58</v>
      </c>
      <c r="E109" s="30">
        <v>175000.0</v>
      </c>
      <c r="F109" s="17">
        <v>100000.0</v>
      </c>
      <c r="G109" s="30">
        <v>75000.0</v>
      </c>
      <c r="H109" s="41"/>
    </row>
    <row r="110" ht="15.75" customHeight="1">
      <c r="B110" s="14" t="s">
        <v>92</v>
      </c>
      <c r="C110" s="15">
        <v>36.0</v>
      </c>
      <c r="D110" s="16" t="s">
        <v>93</v>
      </c>
      <c r="E110" s="30">
        <v>122500.0</v>
      </c>
      <c r="F110" s="17">
        <v>70000.0</v>
      </c>
      <c r="G110" s="30">
        <v>52500.0</v>
      </c>
      <c r="H110" s="42"/>
    </row>
    <row r="111" ht="15.75" customHeight="1">
      <c r="B111" s="14" t="s">
        <v>94</v>
      </c>
      <c r="C111" s="15">
        <v>85.0</v>
      </c>
      <c r="D111" s="16" t="s">
        <v>51</v>
      </c>
      <c r="E111" s="30">
        <v>350000.0</v>
      </c>
      <c r="F111" s="17">
        <v>200000.0</v>
      </c>
      <c r="G111" s="30">
        <v>150000.0</v>
      </c>
    </row>
    <row r="112" ht="15.75" customHeight="1">
      <c r="B112" s="14" t="s">
        <v>94</v>
      </c>
      <c r="C112" s="15">
        <v>4.0</v>
      </c>
      <c r="D112" s="16" t="s">
        <v>95</v>
      </c>
      <c r="E112" s="30">
        <v>118125.0</v>
      </c>
      <c r="F112" s="17">
        <v>90000.0</v>
      </c>
      <c r="G112" s="30">
        <v>28125.0</v>
      </c>
    </row>
    <row r="113" ht="15.75" customHeight="1">
      <c r="B113" s="14" t="s">
        <v>96</v>
      </c>
      <c r="C113" s="15">
        <v>48.0</v>
      </c>
      <c r="D113" s="16" t="s">
        <v>97</v>
      </c>
      <c r="E113" s="30">
        <v>157500.0</v>
      </c>
      <c r="F113" s="17">
        <v>90000.0</v>
      </c>
      <c r="G113" s="30">
        <v>67500.0</v>
      </c>
    </row>
    <row r="114" ht="15.75" customHeight="1">
      <c r="B114" s="14" t="s">
        <v>96</v>
      </c>
      <c r="C114" s="15">
        <v>44.0</v>
      </c>
      <c r="D114" s="16" t="s">
        <v>57</v>
      </c>
      <c r="E114" s="30">
        <v>271250.0</v>
      </c>
      <c r="F114" s="17">
        <v>150000.0</v>
      </c>
      <c r="G114" s="30">
        <v>121250.0</v>
      </c>
    </row>
    <row r="115" ht="15.75" customHeight="1">
      <c r="B115" s="14" t="s">
        <v>98</v>
      </c>
      <c r="C115" s="15">
        <v>32.0</v>
      </c>
      <c r="D115" s="16" t="s">
        <v>13</v>
      </c>
      <c r="E115" s="30">
        <v>262500.0</v>
      </c>
      <c r="F115" s="17">
        <v>150000.0</v>
      </c>
      <c r="G115" s="30">
        <v>112500.0</v>
      </c>
    </row>
    <row r="116" ht="15.75" customHeight="1">
      <c r="B116" s="14" t="s">
        <v>98</v>
      </c>
      <c r="C116" s="15">
        <v>92.0</v>
      </c>
      <c r="D116" s="16" t="s">
        <v>84</v>
      </c>
      <c r="E116" s="30">
        <v>192500.0</v>
      </c>
      <c r="F116" s="17">
        <v>110000.0</v>
      </c>
      <c r="G116" s="30">
        <v>82500.0</v>
      </c>
    </row>
    <row r="117" ht="15.75" customHeight="1">
      <c r="B117" s="14" t="s">
        <v>98</v>
      </c>
      <c r="C117" s="15">
        <v>32.0</v>
      </c>
      <c r="D117" s="16" t="s">
        <v>13</v>
      </c>
      <c r="E117" s="30">
        <v>262500.0</v>
      </c>
      <c r="F117" s="17">
        <v>150000.0</v>
      </c>
      <c r="G117" s="30">
        <v>112500.0</v>
      </c>
    </row>
    <row r="118" ht="15.75" customHeight="1">
      <c r="B118" s="14" t="s">
        <v>99</v>
      </c>
      <c r="C118" s="15">
        <v>32.0</v>
      </c>
      <c r="D118" s="16" t="s">
        <v>13</v>
      </c>
      <c r="E118" s="30">
        <v>262500.0</v>
      </c>
      <c r="F118" s="17">
        <v>150000.0</v>
      </c>
      <c r="G118" s="30">
        <v>112500.0</v>
      </c>
    </row>
    <row r="119" ht="15.75" customHeight="1">
      <c r="B119" s="20" t="s">
        <v>19</v>
      </c>
      <c r="C119" s="2"/>
      <c r="D119" s="3"/>
      <c r="E119" s="33">
        <f t="shared" ref="E119:G119" si="2">SUM(E71:E118)</f>
        <v>10340625</v>
      </c>
      <c r="F119" s="21">
        <f t="shared" si="2"/>
        <v>5970000</v>
      </c>
      <c r="G119" s="34">
        <f t="shared" si="2"/>
        <v>4405625</v>
      </c>
      <c r="H119" s="23" t="s">
        <v>20</v>
      </c>
    </row>
    <row r="120" ht="15.75" customHeight="1">
      <c r="B120" s="35" t="s">
        <v>100</v>
      </c>
      <c r="C120" s="2"/>
      <c r="D120" s="3"/>
      <c r="E120" s="36"/>
      <c r="F120" s="37">
        <v>305000.0</v>
      </c>
      <c r="G120" s="43"/>
    </row>
    <row r="121" ht="15.75" customHeight="1">
      <c r="B121" s="20" t="s">
        <v>63</v>
      </c>
      <c r="C121" s="2"/>
      <c r="D121" s="3"/>
      <c r="E121" s="21"/>
      <c r="F121" s="39">
        <f>SUM(F119:F120)</f>
        <v>6275000</v>
      </c>
      <c r="G121" s="43"/>
    </row>
    <row r="122" ht="15.75" customHeight="1">
      <c r="B122" s="19"/>
      <c r="D122" s="27"/>
    </row>
    <row r="123" ht="15.75" customHeight="1">
      <c r="B123" s="19"/>
      <c r="D123" s="27"/>
    </row>
    <row r="124" ht="15.75" customHeight="1">
      <c r="B124" s="1" t="s">
        <v>0</v>
      </c>
      <c r="C124" s="2"/>
      <c r="D124" s="3"/>
      <c r="E124" s="28"/>
      <c r="F124" s="28"/>
      <c r="G124" s="44"/>
    </row>
    <row r="125" ht="15.75" customHeight="1">
      <c r="B125" s="6" t="s">
        <v>1</v>
      </c>
      <c r="C125" s="2"/>
      <c r="D125" s="3"/>
      <c r="E125" s="7"/>
      <c r="F125" s="7"/>
      <c r="G125" s="45"/>
    </row>
    <row r="126" ht="15.75" customHeight="1">
      <c r="B126" s="8" t="s">
        <v>101</v>
      </c>
      <c r="C126" s="2"/>
      <c r="D126" s="3"/>
      <c r="E126" s="9"/>
      <c r="F126" s="9"/>
      <c r="G126" s="46"/>
    </row>
    <row r="127" ht="15.75" customHeight="1">
      <c r="B127" s="47" t="s">
        <v>3</v>
      </c>
      <c r="C127" s="47" t="s">
        <v>4</v>
      </c>
      <c r="D127" s="47" t="s">
        <v>5</v>
      </c>
      <c r="E127" s="47" t="s">
        <v>6</v>
      </c>
      <c r="F127" s="47" t="s">
        <v>7</v>
      </c>
      <c r="G127" s="48" t="s">
        <v>8</v>
      </c>
    </row>
    <row r="128" ht="15.75" customHeight="1">
      <c r="B128" s="14" t="s">
        <v>102</v>
      </c>
      <c r="C128" s="15">
        <v>96.0</v>
      </c>
      <c r="D128" s="16" t="s">
        <v>84</v>
      </c>
      <c r="E128" s="30">
        <v>192500.0</v>
      </c>
      <c r="F128" s="17">
        <v>110000.0</v>
      </c>
      <c r="G128" s="30">
        <v>82500.0</v>
      </c>
    </row>
    <row r="129" ht="15.75" customHeight="1">
      <c r="B129" s="14" t="s">
        <v>102</v>
      </c>
      <c r="C129" s="15">
        <v>44.0</v>
      </c>
      <c r="D129" s="16" t="s">
        <v>103</v>
      </c>
      <c r="E129" s="30">
        <v>271250.0</v>
      </c>
      <c r="F129" s="17">
        <v>150000.0</v>
      </c>
      <c r="G129" s="30">
        <v>121250.0</v>
      </c>
    </row>
    <row r="130" ht="15.0" customHeight="1">
      <c r="B130" s="14" t="s">
        <v>104</v>
      </c>
      <c r="C130" s="15">
        <v>99.0</v>
      </c>
      <c r="D130" s="16" t="s">
        <v>44</v>
      </c>
      <c r="E130" s="30">
        <v>236250.0</v>
      </c>
      <c r="F130" s="17">
        <v>135000.0</v>
      </c>
      <c r="G130" s="30">
        <v>101250.0</v>
      </c>
    </row>
    <row r="131" ht="15.75" customHeight="1">
      <c r="B131" s="14" t="s">
        <v>105</v>
      </c>
      <c r="C131" s="15">
        <v>89.0</v>
      </c>
      <c r="D131" s="16" t="s">
        <v>59</v>
      </c>
      <c r="E131" s="30">
        <v>245000.0</v>
      </c>
      <c r="F131" s="17">
        <v>140000.0</v>
      </c>
      <c r="G131" s="30">
        <v>105000.0</v>
      </c>
    </row>
    <row r="132" ht="15.75" customHeight="1">
      <c r="B132" s="14" t="s">
        <v>106</v>
      </c>
      <c r="C132" s="15">
        <v>114.0</v>
      </c>
      <c r="D132" s="16" t="s">
        <v>107</v>
      </c>
      <c r="E132" s="30">
        <v>52500.0</v>
      </c>
      <c r="F132" s="17">
        <v>30000.0</v>
      </c>
      <c r="G132" s="30">
        <v>22500.0</v>
      </c>
    </row>
    <row r="133" ht="15.75" customHeight="1">
      <c r="B133" s="14" t="s">
        <v>106</v>
      </c>
      <c r="C133" s="15">
        <v>8.0</v>
      </c>
      <c r="D133" s="16" t="s">
        <v>45</v>
      </c>
      <c r="E133" s="30">
        <v>183750.0</v>
      </c>
      <c r="F133" s="17">
        <v>105000.0</v>
      </c>
      <c r="G133" s="30">
        <v>78750.0</v>
      </c>
    </row>
    <row r="134" ht="15.75" customHeight="1">
      <c r="B134" s="14" t="s">
        <v>106</v>
      </c>
      <c r="C134" s="15">
        <v>32.0</v>
      </c>
      <c r="D134" s="16" t="s">
        <v>26</v>
      </c>
      <c r="E134" s="30">
        <v>262500.0</v>
      </c>
      <c r="F134" s="17">
        <v>150000.0</v>
      </c>
      <c r="G134" s="30">
        <v>112500.0</v>
      </c>
    </row>
    <row r="135" ht="15.75" customHeight="1">
      <c r="B135" s="14" t="s">
        <v>108</v>
      </c>
      <c r="C135" s="15">
        <v>33.0</v>
      </c>
      <c r="D135" s="16" t="s">
        <v>109</v>
      </c>
      <c r="E135" s="30">
        <v>141750.0</v>
      </c>
      <c r="F135" s="17">
        <v>74250.0</v>
      </c>
      <c r="G135" s="30">
        <v>67500.0</v>
      </c>
    </row>
    <row r="136" ht="15.75" customHeight="1">
      <c r="B136" s="14" t="s">
        <v>110</v>
      </c>
      <c r="C136" s="15">
        <v>12.0</v>
      </c>
      <c r="D136" s="16" t="s">
        <v>111</v>
      </c>
      <c r="E136" s="30">
        <v>175000.0</v>
      </c>
      <c r="F136" s="17">
        <v>100000.0</v>
      </c>
      <c r="G136" s="30">
        <v>75000.0</v>
      </c>
    </row>
    <row r="137" ht="15.75" customHeight="1">
      <c r="B137" s="14" t="s">
        <v>110</v>
      </c>
      <c r="C137" s="15">
        <v>8.0</v>
      </c>
      <c r="D137" s="16" t="s">
        <v>45</v>
      </c>
      <c r="E137" s="30">
        <v>183750.0</v>
      </c>
      <c r="F137" s="17">
        <v>105000.0</v>
      </c>
      <c r="G137" s="30">
        <v>78750.0</v>
      </c>
    </row>
    <row r="138" ht="15.75" customHeight="1">
      <c r="B138" s="14" t="s">
        <v>110</v>
      </c>
      <c r="C138" s="15">
        <v>65.0</v>
      </c>
      <c r="D138" s="16" t="s">
        <v>10</v>
      </c>
      <c r="E138" s="30">
        <v>175000.0</v>
      </c>
      <c r="F138" s="17">
        <v>100000.0</v>
      </c>
      <c r="G138" s="30">
        <v>75000.0</v>
      </c>
    </row>
    <row r="139" ht="15.75" customHeight="1">
      <c r="B139" s="14" t="s">
        <v>110</v>
      </c>
      <c r="C139" s="15">
        <v>65.0</v>
      </c>
      <c r="D139" s="16" t="s">
        <v>10</v>
      </c>
      <c r="E139" s="30">
        <v>175000.0</v>
      </c>
      <c r="F139" s="17">
        <v>100000.0</v>
      </c>
      <c r="G139" s="30">
        <v>75000.0</v>
      </c>
    </row>
    <row r="140" ht="15.75" customHeight="1">
      <c r="B140" s="14" t="s">
        <v>110</v>
      </c>
      <c r="C140" s="15">
        <v>65.0</v>
      </c>
      <c r="D140" s="16" t="s">
        <v>10</v>
      </c>
      <c r="E140" s="30">
        <v>175000.0</v>
      </c>
      <c r="F140" s="17">
        <v>100000.0</v>
      </c>
      <c r="G140" s="30">
        <v>75000.0</v>
      </c>
    </row>
    <row r="141" ht="15.75" customHeight="1">
      <c r="B141" s="14" t="s">
        <v>112</v>
      </c>
      <c r="C141" s="15">
        <v>86.0</v>
      </c>
      <c r="D141" s="16" t="s">
        <v>113</v>
      </c>
      <c r="E141" s="30">
        <v>393750.0</v>
      </c>
      <c r="F141" s="17">
        <v>225000.0</v>
      </c>
      <c r="G141" s="30">
        <v>168750.0</v>
      </c>
    </row>
    <row r="142" ht="15.75" customHeight="1">
      <c r="B142" s="14" t="s">
        <v>114</v>
      </c>
      <c r="C142" s="15">
        <v>32.0</v>
      </c>
      <c r="D142" s="16" t="s">
        <v>26</v>
      </c>
      <c r="E142" s="30">
        <v>262500.0</v>
      </c>
      <c r="F142" s="17">
        <v>150000.0</v>
      </c>
      <c r="G142" s="30">
        <v>112500.0</v>
      </c>
    </row>
    <row r="143" ht="15.75" customHeight="1">
      <c r="B143" s="14" t="s">
        <v>115</v>
      </c>
      <c r="C143" s="15">
        <v>65.0</v>
      </c>
      <c r="D143" s="16" t="s">
        <v>10</v>
      </c>
      <c r="E143" s="30">
        <v>175000.0</v>
      </c>
      <c r="F143" s="17">
        <v>100000.0</v>
      </c>
      <c r="G143" s="30">
        <v>75000.0</v>
      </c>
    </row>
    <row r="144" ht="15.75" customHeight="1">
      <c r="B144" s="14" t="s">
        <v>115</v>
      </c>
      <c r="C144" s="15">
        <v>89.0</v>
      </c>
      <c r="D144" s="16" t="s">
        <v>59</v>
      </c>
      <c r="E144" s="30">
        <v>245000.0</v>
      </c>
      <c r="F144" s="17">
        <v>140000.0</v>
      </c>
      <c r="G144" s="30">
        <v>105000.0</v>
      </c>
    </row>
    <row r="145" ht="14.25" customHeight="1">
      <c r="B145" s="14" t="s">
        <v>116</v>
      </c>
      <c r="C145" s="15">
        <v>28.0</v>
      </c>
      <c r="D145" s="16" t="s">
        <v>117</v>
      </c>
      <c r="E145" s="30">
        <v>157500.0</v>
      </c>
      <c r="F145" s="17">
        <v>90000.0</v>
      </c>
      <c r="G145" s="30">
        <v>67500.0</v>
      </c>
      <c r="H145" s="5"/>
      <c r="I145" s="5"/>
    </row>
    <row r="146" ht="15.75" customHeight="1">
      <c r="B146" s="14" t="s">
        <v>116</v>
      </c>
      <c r="C146" s="15">
        <v>89.0</v>
      </c>
      <c r="D146" s="16" t="s">
        <v>59</v>
      </c>
      <c r="E146" s="30">
        <v>245000.0</v>
      </c>
      <c r="F146" s="17">
        <v>140000.0</v>
      </c>
      <c r="G146" s="30">
        <v>105000.0</v>
      </c>
      <c r="H146" s="5"/>
      <c r="I146" s="5"/>
    </row>
    <row r="147" ht="15.75" customHeight="1">
      <c r="B147" s="14" t="s">
        <v>118</v>
      </c>
      <c r="C147" s="15">
        <v>12.0</v>
      </c>
      <c r="D147" s="16" t="s">
        <v>58</v>
      </c>
      <c r="E147" s="30">
        <v>175000.0</v>
      </c>
      <c r="F147" s="17">
        <v>100000.0</v>
      </c>
      <c r="G147" s="30">
        <v>75000.0</v>
      </c>
      <c r="H147" s="10"/>
      <c r="I147" s="10"/>
    </row>
    <row r="148" ht="15.75" customHeight="1">
      <c r="B148" s="14" t="s">
        <v>119</v>
      </c>
      <c r="C148" s="15">
        <v>18.0</v>
      </c>
      <c r="D148" s="16" t="s">
        <v>120</v>
      </c>
      <c r="E148" s="30">
        <v>157500.0</v>
      </c>
      <c r="F148" s="17">
        <v>90000.0</v>
      </c>
      <c r="G148" s="30">
        <v>67500.0</v>
      </c>
      <c r="H148" s="13"/>
      <c r="I148" s="13"/>
    </row>
    <row r="149" ht="15.75" customHeight="1">
      <c r="B149" s="14" t="s">
        <v>119</v>
      </c>
      <c r="C149" s="15">
        <v>12.0</v>
      </c>
      <c r="D149" s="16" t="s">
        <v>58</v>
      </c>
      <c r="E149" s="30">
        <v>175000.0</v>
      </c>
      <c r="F149" s="17">
        <v>100000.0</v>
      </c>
      <c r="G149" s="30">
        <v>75000.0</v>
      </c>
      <c r="I149" s="18"/>
    </row>
    <row r="150" ht="15.75" customHeight="1">
      <c r="B150" s="14" t="s">
        <v>121</v>
      </c>
      <c r="C150" s="15">
        <v>63.0</v>
      </c>
      <c r="D150" s="16" t="s">
        <v>122</v>
      </c>
      <c r="E150" s="30">
        <v>236250.0</v>
      </c>
      <c r="F150" s="17">
        <v>135000.0</v>
      </c>
      <c r="G150" s="30">
        <v>101250.0</v>
      </c>
      <c r="I150" s="18"/>
    </row>
    <row r="151" ht="15.75" customHeight="1">
      <c r="B151" s="14" t="s">
        <v>121</v>
      </c>
      <c r="C151" s="15">
        <v>74.0</v>
      </c>
      <c r="D151" s="16" t="s">
        <v>81</v>
      </c>
      <c r="E151" s="30">
        <v>262500.0</v>
      </c>
      <c r="F151" s="17">
        <v>150000.0</v>
      </c>
      <c r="G151" s="30">
        <v>112500.0</v>
      </c>
      <c r="I151" s="18"/>
    </row>
    <row r="152" ht="15.75" customHeight="1">
      <c r="B152" s="14" t="s">
        <v>121</v>
      </c>
      <c r="C152" s="15">
        <v>72.0</v>
      </c>
      <c r="D152" s="16" t="s">
        <v>37</v>
      </c>
      <c r="E152" s="30">
        <v>236250.0</v>
      </c>
      <c r="F152" s="17">
        <v>135000.0</v>
      </c>
      <c r="G152" s="30">
        <v>101250.0</v>
      </c>
      <c r="I152" s="18"/>
    </row>
    <row r="153" ht="15.75" customHeight="1">
      <c r="B153" s="14" t="s">
        <v>123</v>
      </c>
      <c r="C153" s="15">
        <v>12.0</v>
      </c>
      <c r="D153" s="16" t="s">
        <v>124</v>
      </c>
      <c r="E153" s="30">
        <v>175000.0</v>
      </c>
      <c r="F153" s="17">
        <v>100000.0</v>
      </c>
      <c r="G153" s="30">
        <v>75000.0</v>
      </c>
      <c r="I153" s="18"/>
    </row>
    <row r="154" ht="15.75" customHeight="1">
      <c r="B154" s="14" t="s">
        <v>125</v>
      </c>
      <c r="C154" s="15">
        <v>81.0</v>
      </c>
      <c r="D154" s="16" t="s">
        <v>71</v>
      </c>
      <c r="E154" s="30">
        <v>227500.0</v>
      </c>
      <c r="F154" s="17">
        <v>130000.0</v>
      </c>
      <c r="G154" s="30">
        <v>97500.0</v>
      </c>
      <c r="I154" s="18"/>
    </row>
    <row r="155" ht="15.75" customHeight="1">
      <c r="B155" s="20" t="s">
        <v>19</v>
      </c>
      <c r="C155" s="2"/>
      <c r="D155" s="3"/>
      <c r="E155" s="33">
        <f t="shared" ref="E155:G155" si="3">SUM(E128:E154)</f>
        <v>5593000</v>
      </c>
      <c r="F155" s="21">
        <f t="shared" si="3"/>
        <v>3184250</v>
      </c>
      <c r="G155" s="49">
        <f t="shared" si="3"/>
        <v>2408750</v>
      </c>
      <c r="H155" s="23" t="s">
        <v>20</v>
      </c>
      <c r="I155" s="18"/>
    </row>
    <row r="156" ht="15.75" customHeight="1">
      <c r="B156" s="20" t="s">
        <v>21</v>
      </c>
      <c r="C156" s="2"/>
      <c r="D156" s="3"/>
      <c r="E156" s="33"/>
      <c r="F156" s="21">
        <f>SUM(F155)</f>
        <v>3184250</v>
      </c>
      <c r="G156" s="33"/>
      <c r="I156" s="18"/>
    </row>
    <row r="157" ht="15.75" customHeight="1">
      <c r="B157" s="19"/>
      <c r="D157" s="27"/>
      <c r="I157" s="18"/>
    </row>
    <row r="158" ht="15.75" customHeight="1">
      <c r="B158" s="19"/>
      <c r="D158" s="27"/>
      <c r="H158" s="32"/>
      <c r="I158" s="29"/>
    </row>
    <row r="159" ht="15.75" customHeight="1">
      <c r="B159" s="1" t="s">
        <v>0</v>
      </c>
      <c r="C159" s="2"/>
      <c r="D159" s="3"/>
      <c r="E159" s="28"/>
      <c r="F159" s="28"/>
      <c r="G159" s="44"/>
      <c r="H159" s="19"/>
      <c r="I159" s="41"/>
    </row>
    <row r="160" ht="15.75" customHeight="1">
      <c r="B160" s="6" t="s">
        <v>1</v>
      </c>
      <c r="C160" s="2"/>
      <c r="D160" s="3"/>
      <c r="E160" s="7"/>
      <c r="F160" s="7"/>
      <c r="G160" s="45"/>
      <c r="H160" s="5"/>
      <c r="I160" s="42"/>
    </row>
    <row r="161" ht="15.75" customHeight="1">
      <c r="B161" s="8" t="s">
        <v>126</v>
      </c>
      <c r="C161" s="2"/>
      <c r="D161" s="3"/>
      <c r="E161" s="9"/>
      <c r="F161" s="9"/>
      <c r="G161" s="46"/>
      <c r="I161" s="18"/>
    </row>
    <row r="162" ht="15.75" customHeight="1">
      <c r="B162" s="47" t="s">
        <v>3</v>
      </c>
      <c r="C162" s="47" t="s">
        <v>4</v>
      </c>
      <c r="D162" s="47" t="s">
        <v>5</v>
      </c>
      <c r="E162" s="47" t="s">
        <v>6</v>
      </c>
      <c r="F162" s="47" t="s">
        <v>7</v>
      </c>
      <c r="G162" s="48" t="s">
        <v>8</v>
      </c>
    </row>
    <row r="163" ht="15.75" customHeight="1">
      <c r="B163" s="14" t="s">
        <v>127</v>
      </c>
      <c r="C163" s="15">
        <v>28.0</v>
      </c>
      <c r="D163" s="16" t="s">
        <v>128</v>
      </c>
      <c r="E163" s="30">
        <v>183750.0</v>
      </c>
      <c r="F163" s="17">
        <v>90000.0</v>
      </c>
      <c r="G163" s="30">
        <v>93750.0</v>
      </c>
      <c r="H163" s="5"/>
      <c r="I163" s="5"/>
    </row>
    <row r="164" ht="15.75" customHeight="1">
      <c r="B164" s="14" t="s">
        <v>127</v>
      </c>
      <c r="C164" s="15">
        <v>81.0</v>
      </c>
      <c r="D164" s="16" t="s">
        <v>71</v>
      </c>
      <c r="E164" s="30">
        <v>227500.0</v>
      </c>
      <c r="F164" s="17">
        <v>130000.0</v>
      </c>
      <c r="G164" s="30">
        <v>97500.0</v>
      </c>
      <c r="H164" s="5"/>
      <c r="I164" s="5"/>
    </row>
    <row r="165" ht="15.75" customHeight="1">
      <c r="B165" s="14" t="s">
        <v>129</v>
      </c>
      <c r="C165" s="15">
        <v>89.0</v>
      </c>
      <c r="D165" s="16" t="s">
        <v>59</v>
      </c>
      <c r="E165" s="30">
        <v>245000.0</v>
      </c>
      <c r="F165" s="17">
        <v>140000.0</v>
      </c>
      <c r="G165" s="30">
        <v>105000.0</v>
      </c>
      <c r="H165" s="10"/>
      <c r="I165" s="10"/>
    </row>
    <row r="166" ht="15.75" customHeight="1">
      <c r="B166" s="14" t="s">
        <v>129</v>
      </c>
      <c r="C166" s="15">
        <v>32.0</v>
      </c>
      <c r="D166" s="16" t="s">
        <v>130</v>
      </c>
      <c r="E166" s="30">
        <v>262500.0</v>
      </c>
      <c r="F166" s="17">
        <v>150000.0</v>
      </c>
      <c r="G166" s="30">
        <v>112500.0</v>
      </c>
      <c r="H166" s="13"/>
      <c r="I166" s="13"/>
    </row>
    <row r="167" ht="15.75" customHeight="1">
      <c r="B167" s="14" t="s">
        <v>131</v>
      </c>
      <c r="C167" s="15">
        <v>92.0</v>
      </c>
      <c r="D167" s="16" t="s">
        <v>84</v>
      </c>
      <c r="E167" s="30">
        <v>192500.0</v>
      </c>
      <c r="F167" s="17">
        <v>110000.0</v>
      </c>
      <c r="G167" s="30">
        <v>82500.0</v>
      </c>
      <c r="I167" s="18"/>
    </row>
    <row r="168" ht="15.75" customHeight="1">
      <c r="B168" s="14" t="s">
        <v>131</v>
      </c>
      <c r="C168" s="15">
        <v>99.0</v>
      </c>
      <c r="D168" s="16" t="s">
        <v>44</v>
      </c>
      <c r="E168" s="30">
        <v>236250.0</v>
      </c>
      <c r="F168" s="17">
        <v>135000.0</v>
      </c>
      <c r="G168" s="30">
        <v>101250.0</v>
      </c>
      <c r="I168" s="18"/>
    </row>
    <row r="169" ht="15.75" customHeight="1">
      <c r="B169" s="14" t="s">
        <v>131</v>
      </c>
      <c r="C169" s="15">
        <v>92.0</v>
      </c>
      <c r="D169" s="16" t="s">
        <v>84</v>
      </c>
      <c r="E169" s="30">
        <v>192500.0</v>
      </c>
      <c r="F169" s="17">
        <v>110000.0</v>
      </c>
      <c r="G169" s="30">
        <v>82500.0</v>
      </c>
      <c r="I169" s="18"/>
    </row>
    <row r="170" ht="15.75" customHeight="1">
      <c r="B170" s="14" t="s">
        <v>132</v>
      </c>
      <c r="C170" s="15">
        <v>93.0</v>
      </c>
      <c r="D170" s="16" t="s">
        <v>133</v>
      </c>
      <c r="E170" s="30">
        <v>210000.0</v>
      </c>
      <c r="F170" s="17">
        <v>120000.0</v>
      </c>
      <c r="G170" s="30">
        <v>90000.0</v>
      </c>
      <c r="I170" s="18"/>
    </row>
    <row r="171" ht="15.75" customHeight="1">
      <c r="B171" s="14" t="s">
        <v>132</v>
      </c>
      <c r="C171" s="15">
        <v>81.0</v>
      </c>
      <c r="D171" s="16" t="s">
        <v>71</v>
      </c>
      <c r="E171" s="30">
        <v>227500.0</v>
      </c>
      <c r="F171" s="17">
        <v>130000.0</v>
      </c>
      <c r="G171" s="30">
        <v>97500.0</v>
      </c>
      <c r="I171" s="18"/>
    </row>
    <row r="172" ht="15.75" customHeight="1">
      <c r="B172" s="14" t="s">
        <v>134</v>
      </c>
      <c r="C172" s="15">
        <v>32.0</v>
      </c>
      <c r="D172" s="16" t="s">
        <v>135</v>
      </c>
      <c r="E172" s="30">
        <v>262500.0</v>
      </c>
      <c r="F172" s="17">
        <v>-150000.0</v>
      </c>
      <c r="G172" s="30">
        <v>112500.0</v>
      </c>
      <c r="I172" s="18"/>
    </row>
    <row r="173" ht="15.75" customHeight="1">
      <c r="B173" s="14" t="s">
        <v>136</v>
      </c>
      <c r="C173" s="15"/>
      <c r="D173" s="16" t="s">
        <v>137</v>
      </c>
      <c r="E173" s="30">
        <v>17500.0</v>
      </c>
      <c r="F173" s="17">
        <v>17500.0</v>
      </c>
      <c r="G173" s="30">
        <v>0.0</v>
      </c>
      <c r="I173" s="18"/>
    </row>
    <row r="174" ht="15.75" customHeight="1">
      <c r="B174" s="14" t="s">
        <v>136</v>
      </c>
      <c r="C174" s="15">
        <v>3.0</v>
      </c>
      <c r="D174" s="16" t="s">
        <v>138</v>
      </c>
      <c r="E174" s="30">
        <v>165375.0</v>
      </c>
      <c r="F174" s="17">
        <v>105000.0</v>
      </c>
      <c r="G174" s="30">
        <v>60375.0</v>
      </c>
      <c r="I174" s="18"/>
    </row>
    <row r="175" ht="15.75" customHeight="1">
      <c r="B175" s="14" t="s">
        <v>139</v>
      </c>
      <c r="C175" s="15">
        <v>81.0</v>
      </c>
      <c r="D175" s="16" t="s">
        <v>71</v>
      </c>
      <c r="E175" s="30">
        <v>227500.0</v>
      </c>
      <c r="F175" s="17">
        <v>130000.0</v>
      </c>
      <c r="G175" s="30">
        <v>97500.0</v>
      </c>
      <c r="I175" s="18"/>
    </row>
    <row r="176" ht="15.75" customHeight="1">
      <c r="B176" s="14" t="s">
        <v>139</v>
      </c>
      <c r="C176" s="15">
        <v>72.0</v>
      </c>
      <c r="D176" s="16" t="s">
        <v>37</v>
      </c>
      <c r="E176" s="30">
        <v>236250.0</v>
      </c>
      <c r="F176" s="17">
        <v>135000.0</v>
      </c>
      <c r="G176" s="30">
        <v>101250.0</v>
      </c>
      <c r="I176" s="18"/>
    </row>
    <row r="177" ht="15.75" customHeight="1">
      <c r="B177" s="14" t="s">
        <v>139</v>
      </c>
      <c r="C177" s="15">
        <v>3.0</v>
      </c>
      <c r="D177" s="16" t="s">
        <v>138</v>
      </c>
      <c r="E177" s="30">
        <v>165375.0</v>
      </c>
      <c r="F177" s="17">
        <v>105000.0</v>
      </c>
      <c r="G177" s="30">
        <v>60375.0</v>
      </c>
      <c r="I177" s="18"/>
    </row>
    <row r="178" ht="15.75" customHeight="1">
      <c r="B178" s="14" t="s">
        <v>140</v>
      </c>
      <c r="C178" s="15">
        <v>11.0</v>
      </c>
      <c r="D178" s="16" t="s">
        <v>66</v>
      </c>
      <c r="E178" s="30">
        <v>157500.0</v>
      </c>
      <c r="F178" s="17">
        <v>90000.0</v>
      </c>
      <c r="G178" s="30">
        <v>67500.0</v>
      </c>
      <c r="I178" s="18"/>
    </row>
    <row r="179" ht="15.75" customHeight="1">
      <c r="B179" s="14" t="s">
        <v>140</v>
      </c>
      <c r="C179" s="15">
        <v>89.0</v>
      </c>
      <c r="D179" s="16" t="s">
        <v>59</v>
      </c>
      <c r="E179" s="30">
        <v>245000.0</v>
      </c>
      <c r="F179" s="17">
        <v>140000.0</v>
      </c>
      <c r="G179" s="30">
        <v>105000.0</v>
      </c>
      <c r="I179" s="18"/>
    </row>
    <row r="180" ht="15.75" customHeight="1">
      <c r="B180" s="14" t="s">
        <v>140</v>
      </c>
      <c r="C180" s="15">
        <v>12.0</v>
      </c>
      <c r="D180" s="16" t="s">
        <v>141</v>
      </c>
      <c r="E180" s="30">
        <v>175000.0</v>
      </c>
      <c r="F180" s="17">
        <v>100000.0</v>
      </c>
      <c r="G180" s="30">
        <v>75000.0</v>
      </c>
      <c r="I180" s="18"/>
    </row>
    <row r="181" ht="15.75" customHeight="1">
      <c r="B181" s="14" t="s">
        <v>140</v>
      </c>
      <c r="C181" s="15">
        <v>37.0</v>
      </c>
      <c r="D181" s="16" t="s">
        <v>128</v>
      </c>
      <c r="E181" s="30">
        <v>183750.0</v>
      </c>
      <c r="F181" s="17">
        <v>90000.0</v>
      </c>
      <c r="G181" s="30">
        <v>93750.0</v>
      </c>
      <c r="I181" s="18"/>
    </row>
    <row r="182" ht="15.75" customHeight="1">
      <c r="B182" s="14" t="s">
        <v>142</v>
      </c>
      <c r="C182" s="15">
        <v>44.0</v>
      </c>
      <c r="D182" s="16" t="s">
        <v>57</v>
      </c>
      <c r="E182" s="30">
        <v>271250.0</v>
      </c>
      <c r="F182" s="17">
        <v>155000.0</v>
      </c>
      <c r="G182" s="30">
        <v>116250.0</v>
      </c>
      <c r="I182" s="18"/>
    </row>
    <row r="183" ht="15.75" customHeight="1">
      <c r="B183" s="14" t="s">
        <v>143</v>
      </c>
      <c r="C183" s="15">
        <v>60.0</v>
      </c>
      <c r="D183" s="16" t="s">
        <v>144</v>
      </c>
      <c r="E183" s="30">
        <v>350000.0</v>
      </c>
      <c r="F183" s="17">
        <v>200000.0</v>
      </c>
      <c r="G183" s="30">
        <v>150000.0</v>
      </c>
      <c r="I183" s="18"/>
    </row>
    <row r="184" ht="15.75" customHeight="1">
      <c r="B184" s="14" t="s">
        <v>143</v>
      </c>
      <c r="C184" s="15">
        <v>83.0</v>
      </c>
      <c r="D184" s="16" t="s">
        <v>145</v>
      </c>
      <c r="E184" s="30">
        <v>157500.0</v>
      </c>
      <c r="F184" s="17">
        <v>90000.0</v>
      </c>
      <c r="G184" s="30">
        <v>67500.0</v>
      </c>
      <c r="I184" s="18"/>
    </row>
    <row r="185" ht="15.75" customHeight="1">
      <c r="B185" s="14" t="s">
        <v>143</v>
      </c>
      <c r="C185" s="15">
        <v>32.0</v>
      </c>
      <c r="D185" s="16" t="s">
        <v>39</v>
      </c>
      <c r="E185" s="30">
        <v>262500.0</v>
      </c>
      <c r="F185" s="17">
        <v>150000.0</v>
      </c>
      <c r="G185" s="30">
        <v>112500.0</v>
      </c>
      <c r="I185" s="18"/>
    </row>
    <row r="186" ht="15.75" customHeight="1">
      <c r="B186" s="14" t="s">
        <v>143</v>
      </c>
      <c r="C186" s="15">
        <v>32.0</v>
      </c>
      <c r="D186" s="16" t="s">
        <v>130</v>
      </c>
      <c r="E186" s="30">
        <v>262500.0</v>
      </c>
      <c r="F186" s="17">
        <v>150000.0</v>
      </c>
      <c r="G186" s="30">
        <v>112500.0</v>
      </c>
      <c r="I186" s="18"/>
    </row>
    <row r="187" ht="15.75" customHeight="1">
      <c r="B187" s="14" t="s">
        <v>143</v>
      </c>
      <c r="C187" s="15">
        <v>13.0</v>
      </c>
      <c r="D187" s="16" t="s">
        <v>146</v>
      </c>
      <c r="E187" s="30">
        <v>157500.0</v>
      </c>
      <c r="F187" s="17">
        <v>90000.0</v>
      </c>
      <c r="G187" s="30">
        <v>67500.0</v>
      </c>
      <c r="I187" s="18"/>
    </row>
    <row r="188" ht="15.75" customHeight="1">
      <c r="B188" s="14" t="s">
        <v>147</v>
      </c>
      <c r="C188" s="15">
        <v>66.0</v>
      </c>
      <c r="D188" s="16" t="s">
        <v>35</v>
      </c>
      <c r="E188" s="30">
        <v>157500.0</v>
      </c>
      <c r="F188" s="17">
        <v>90000.0</v>
      </c>
      <c r="G188" s="30">
        <v>67500.0</v>
      </c>
      <c r="I188" s="18"/>
    </row>
    <row r="189" ht="15.75" customHeight="1">
      <c r="B189" s="14" t="s">
        <v>147</v>
      </c>
      <c r="C189" s="15">
        <v>13.0</v>
      </c>
      <c r="D189" s="16" t="s">
        <v>146</v>
      </c>
      <c r="E189" s="30">
        <v>157500.0</v>
      </c>
      <c r="F189" s="17">
        <v>90000.0</v>
      </c>
      <c r="G189" s="30">
        <v>67500.0</v>
      </c>
      <c r="I189" s="18"/>
    </row>
    <row r="190" ht="15.75" customHeight="1">
      <c r="B190" s="14" t="s">
        <v>148</v>
      </c>
      <c r="C190" s="15">
        <v>97.0</v>
      </c>
      <c r="D190" s="16" t="s">
        <v>149</v>
      </c>
      <c r="E190" s="30">
        <v>196000.0</v>
      </c>
      <c r="F190" s="17">
        <v>140000.0</v>
      </c>
      <c r="G190" s="30">
        <v>56000.0</v>
      </c>
      <c r="I190" s="18"/>
    </row>
    <row r="191" ht="15.75" customHeight="1">
      <c r="B191" s="14" t="s">
        <v>148</v>
      </c>
      <c r="C191" s="15">
        <v>85.0</v>
      </c>
      <c r="D191" s="16" t="s">
        <v>150</v>
      </c>
      <c r="E191" s="30">
        <v>350000.0</v>
      </c>
      <c r="F191" s="17">
        <v>200000.0</v>
      </c>
      <c r="G191" s="30">
        <v>150000.0</v>
      </c>
      <c r="I191" s="18"/>
    </row>
    <row r="192" ht="15.75" customHeight="1">
      <c r="B192" s="14" t="s">
        <v>151</v>
      </c>
      <c r="C192" s="15">
        <v>88.0</v>
      </c>
      <c r="D192" s="16" t="s">
        <v>152</v>
      </c>
      <c r="E192" s="30">
        <v>175000.0</v>
      </c>
      <c r="F192" s="17">
        <v>100000.0</v>
      </c>
      <c r="G192" s="30">
        <v>75000.0</v>
      </c>
      <c r="I192" s="18"/>
    </row>
    <row r="193" ht="15.75" customHeight="1">
      <c r="B193" s="14" t="s">
        <v>153</v>
      </c>
      <c r="C193" s="15">
        <v>65.0</v>
      </c>
      <c r="D193" s="16" t="s">
        <v>10</v>
      </c>
      <c r="E193" s="30">
        <v>175000.0</v>
      </c>
      <c r="F193" s="17">
        <v>100000.0</v>
      </c>
      <c r="G193" s="30">
        <v>75000.0</v>
      </c>
      <c r="I193" s="18"/>
    </row>
    <row r="194" ht="15.75" customHeight="1">
      <c r="B194" s="14" t="s">
        <v>154</v>
      </c>
      <c r="C194" s="15">
        <v>28.0</v>
      </c>
      <c r="D194" s="16" t="s">
        <v>155</v>
      </c>
      <c r="E194" s="30">
        <v>157500.0</v>
      </c>
      <c r="F194" s="17">
        <v>90000.0</v>
      </c>
      <c r="G194" s="30">
        <v>67500.0</v>
      </c>
      <c r="I194" s="18"/>
    </row>
    <row r="195" ht="15.75" customHeight="1">
      <c r="B195" s="14" t="s">
        <v>154</v>
      </c>
      <c r="C195" s="15">
        <v>44.0</v>
      </c>
      <c r="D195" s="16" t="s">
        <v>156</v>
      </c>
      <c r="E195" s="30">
        <v>271250.0</v>
      </c>
      <c r="F195" s="17">
        <v>150000.0</v>
      </c>
      <c r="G195" s="30">
        <v>121250.0</v>
      </c>
      <c r="I195" s="18"/>
    </row>
    <row r="196" ht="15.75" customHeight="1">
      <c r="B196" s="14" t="s">
        <v>154</v>
      </c>
      <c r="C196" s="15">
        <v>72.0</v>
      </c>
      <c r="D196" s="16" t="s">
        <v>37</v>
      </c>
      <c r="E196" s="30">
        <v>236250.0</v>
      </c>
      <c r="F196" s="17">
        <v>135000.0</v>
      </c>
      <c r="G196" s="30">
        <v>101250.0</v>
      </c>
      <c r="H196" s="32"/>
      <c r="I196" s="29"/>
    </row>
    <row r="197" ht="15.75" customHeight="1">
      <c r="B197" s="14" t="s">
        <v>154</v>
      </c>
      <c r="C197" s="15">
        <v>28.0</v>
      </c>
      <c r="D197" s="16" t="s">
        <v>117</v>
      </c>
      <c r="E197" s="30">
        <v>157500.0</v>
      </c>
      <c r="F197" s="17">
        <v>90000.0</v>
      </c>
      <c r="G197" s="30">
        <v>67500.0</v>
      </c>
      <c r="H197" s="19"/>
      <c r="I197" s="41"/>
    </row>
    <row r="198" ht="15.75" customHeight="1">
      <c r="B198" s="14" t="s">
        <v>154</v>
      </c>
      <c r="C198" s="15">
        <v>72.0</v>
      </c>
      <c r="D198" s="16" t="s">
        <v>37</v>
      </c>
      <c r="E198" s="30">
        <v>236250.0</v>
      </c>
      <c r="F198" s="17">
        <v>135000.0</v>
      </c>
      <c r="G198" s="30">
        <v>101250.0</v>
      </c>
      <c r="H198" s="5"/>
      <c r="I198" s="42"/>
    </row>
    <row r="199" ht="15.75" customHeight="1">
      <c r="B199" s="20" t="s">
        <v>19</v>
      </c>
      <c r="C199" s="2"/>
      <c r="D199" s="3"/>
      <c r="E199" s="33">
        <f>SUM(E163:E198)</f>
        <v>7544250</v>
      </c>
      <c r="F199" s="21">
        <v>4332500.0</v>
      </c>
      <c r="G199" s="34">
        <f>SUM(G163:G198)</f>
        <v>3211750</v>
      </c>
      <c r="H199" s="23" t="s">
        <v>20</v>
      </c>
    </row>
    <row r="200" ht="15.75" customHeight="1">
      <c r="B200" s="35" t="s">
        <v>62</v>
      </c>
      <c r="C200" s="2"/>
      <c r="D200" s="3"/>
      <c r="E200" s="36"/>
      <c r="F200" s="37">
        <v>-150000.0</v>
      </c>
      <c r="G200" s="38"/>
    </row>
    <row r="201" ht="15.75" customHeight="1">
      <c r="B201" s="20" t="s">
        <v>63</v>
      </c>
      <c r="C201" s="2"/>
      <c r="D201" s="3"/>
      <c r="E201" s="21"/>
      <c r="F201" s="39">
        <f>SUM(F199:F200)</f>
        <v>4182500</v>
      </c>
      <c r="G201" s="14"/>
    </row>
    <row r="202" ht="15.75" customHeight="1">
      <c r="B202" s="19"/>
      <c r="D202" s="27"/>
    </row>
    <row r="203" ht="15.75" customHeight="1">
      <c r="B203" s="19"/>
      <c r="D203" s="27"/>
    </row>
    <row r="204" ht="15.75" customHeight="1">
      <c r="B204" s="1" t="s">
        <v>0</v>
      </c>
      <c r="C204" s="2"/>
      <c r="D204" s="3"/>
      <c r="E204" s="28"/>
      <c r="F204" s="28"/>
      <c r="G204" s="44"/>
    </row>
    <row r="205" ht="15.75" customHeight="1">
      <c r="B205" s="6" t="s">
        <v>1</v>
      </c>
      <c r="C205" s="2"/>
      <c r="D205" s="3"/>
      <c r="E205" s="7"/>
      <c r="F205" s="7"/>
      <c r="G205" s="45"/>
    </row>
    <row r="206" ht="15.75" customHeight="1">
      <c r="B206" s="8" t="s">
        <v>157</v>
      </c>
      <c r="C206" s="2"/>
      <c r="D206" s="3"/>
      <c r="E206" s="9"/>
      <c r="F206" s="9"/>
      <c r="G206" s="46"/>
    </row>
    <row r="207" ht="15.75" customHeight="1">
      <c r="B207" s="47" t="s">
        <v>3</v>
      </c>
      <c r="C207" s="47" t="s">
        <v>4</v>
      </c>
      <c r="D207" s="47" t="s">
        <v>5</v>
      </c>
      <c r="E207" s="47" t="s">
        <v>6</v>
      </c>
      <c r="F207" s="47" t="s">
        <v>7</v>
      </c>
      <c r="G207" s="48" t="s">
        <v>8</v>
      </c>
    </row>
    <row r="208" ht="15.75" customHeight="1">
      <c r="B208" s="14" t="s">
        <v>158</v>
      </c>
      <c r="C208" s="15">
        <v>18.0</v>
      </c>
      <c r="D208" s="16" t="s">
        <v>120</v>
      </c>
      <c r="E208" s="30">
        <v>157500.0</v>
      </c>
      <c r="F208" s="17">
        <v>90000.0</v>
      </c>
      <c r="G208" s="30">
        <v>67500.0</v>
      </c>
    </row>
    <row r="209" ht="15.75" customHeight="1">
      <c r="B209" s="14" t="s">
        <v>158</v>
      </c>
      <c r="C209" s="15">
        <v>66.0</v>
      </c>
      <c r="D209" s="16" t="s">
        <v>35</v>
      </c>
      <c r="E209" s="30">
        <v>157500.0</v>
      </c>
      <c r="F209" s="17">
        <v>90000.0</v>
      </c>
      <c r="G209" s="30">
        <v>67500.0</v>
      </c>
    </row>
    <row r="210" ht="15.75" customHeight="1">
      <c r="B210" s="14" t="s">
        <v>158</v>
      </c>
      <c r="C210" s="15">
        <v>66.0</v>
      </c>
      <c r="D210" s="16" t="s">
        <v>35</v>
      </c>
      <c r="E210" s="30">
        <v>157500.0</v>
      </c>
      <c r="F210" s="17">
        <v>90000.0</v>
      </c>
      <c r="G210" s="30">
        <v>67500.0</v>
      </c>
    </row>
    <row r="211" ht="15.75" customHeight="1">
      <c r="B211" s="14" t="s">
        <v>158</v>
      </c>
      <c r="C211" s="15">
        <v>39.0</v>
      </c>
      <c r="D211" s="16" t="s">
        <v>159</v>
      </c>
      <c r="E211" s="30">
        <v>245000.0</v>
      </c>
      <c r="F211" s="17">
        <v>140000.0</v>
      </c>
      <c r="G211" s="30">
        <v>105000.0</v>
      </c>
    </row>
    <row r="212" ht="15.75" customHeight="1">
      <c r="B212" s="14" t="s">
        <v>158</v>
      </c>
      <c r="C212" s="15">
        <v>39.0</v>
      </c>
      <c r="D212" s="16" t="s">
        <v>160</v>
      </c>
      <c r="E212" s="30">
        <v>245000.0</v>
      </c>
      <c r="F212" s="17">
        <v>-140000.0</v>
      </c>
      <c r="G212" s="30">
        <v>105000.0</v>
      </c>
    </row>
    <row r="213" ht="15.75" customHeight="1">
      <c r="B213" s="14" t="s">
        <v>158</v>
      </c>
      <c r="C213" s="15">
        <v>39.0</v>
      </c>
      <c r="D213" s="16" t="s">
        <v>160</v>
      </c>
      <c r="E213" s="30">
        <v>245000.0</v>
      </c>
      <c r="F213" s="17">
        <v>-140000.0</v>
      </c>
      <c r="G213" s="30">
        <v>105000.0</v>
      </c>
    </row>
    <row r="214" ht="15.75" customHeight="1">
      <c r="B214" s="14" t="s">
        <v>161</v>
      </c>
      <c r="C214" s="15">
        <v>65.0</v>
      </c>
      <c r="D214" s="16" t="s">
        <v>10</v>
      </c>
      <c r="E214" s="30">
        <v>175000.0</v>
      </c>
      <c r="F214" s="17">
        <v>100000.0</v>
      </c>
      <c r="G214" s="30">
        <v>75000.0</v>
      </c>
    </row>
    <row r="215" ht="15.75" customHeight="1">
      <c r="B215" s="14" t="s">
        <v>162</v>
      </c>
      <c r="C215" s="15">
        <v>72.0</v>
      </c>
      <c r="D215" s="16" t="s">
        <v>37</v>
      </c>
      <c r="E215" s="30">
        <v>236250.0</v>
      </c>
      <c r="F215" s="17">
        <v>135000.0</v>
      </c>
      <c r="G215" s="30">
        <v>101250.0</v>
      </c>
    </row>
    <row r="216" ht="15.75" customHeight="1">
      <c r="B216" s="14" t="s">
        <v>163</v>
      </c>
      <c r="C216" s="15">
        <v>65.0</v>
      </c>
      <c r="D216" s="16" t="s">
        <v>10</v>
      </c>
      <c r="E216" s="30">
        <v>175000.0</v>
      </c>
      <c r="F216" s="17">
        <v>100000.0</v>
      </c>
      <c r="G216" s="30">
        <v>75000.0</v>
      </c>
    </row>
    <row r="217" ht="15.75" customHeight="1">
      <c r="B217" s="14" t="s">
        <v>164</v>
      </c>
      <c r="C217" s="15">
        <v>65.0</v>
      </c>
      <c r="D217" s="16" t="s">
        <v>10</v>
      </c>
      <c r="E217" s="30">
        <v>175000.0</v>
      </c>
      <c r="F217" s="17">
        <v>100000.0</v>
      </c>
      <c r="G217" s="30">
        <v>75000.0</v>
      </c>
    </row>
    <row r="218" ht="15.75" customHeight="1">
      <c r="B218" s="14" t="s">
        <v>165</v>
      </c>
      <c r="C218" s="15">
        <v>81.0</v>
      </c>
      <c r="D218" s="16" t="s">
        <v>71</v>
      </c>
      <c r="E218" s="30">
        <v>225500.0</v>
      </c>
      <c r="F218" s="17">
        <v>130000.0</v>
      </c>
      <c r="G218" s="30">
        <v>95500.0</v>
      </c>
    </row>
    <row r="219" ht="15.75" customHeight="1">
      <c r="B219" s="14" t="s">
        <v>166</v>
      </c>
      <c r="C219" s="15">
        <v>37.0</v>
      </c>
      <c r="D219" s="16" t="s">
        <v>128</v>
      </c>
      <c r="E219" s="30">
        <v>183750.0</v>
      </c>
      <c r="F219" s="17">
        <v>105000.0</v>
      </c>
      <c r="G219" s="30">
        <v>78750.0</v>
      </c>
    </row>
    <row r="220" ht="15.75" customHeight="1">
      <c r="B220" s="14" t="s">
        <v>167</v>
      </c>
      <c r="C220" s="15">
        <v>40.0</v>
      </c>
      <c r="D220" s="16" t="s">
        <v>168</v>
      </c>
      <c r="E220" s="30">
        <v>192500.0</v>
      </c>
      <c r="F220" s="17">
        <v>-110000.0</v>
      </c>
      <c r="G220" s="30">
        <v>82500.0</v>
      </c>
    </row>
    <row r="221" ht="15.75" customHeight="1">
      <c r="B221" s="14" t="s">
        <v>167</v>
      </c>
      <c r="C221" s="15">
        <v>93.0</v>
      </c>
      <c r="D221" s="16" t="s">
        <v>169</v>
      </c>
      <c r="E221" s="30">
        <v>210000.0</v>
      </c>
      <c r="F221" s="17">
        <v>-120000.0</v>
      </c>
      <c r="G221" s="30">
        <v>90000.0</v>
      </c>
    </row>
    <row r="222" ht="15.75" customHeight="1">
      <c r="B222" s="14" t="s">
        <v>167</v>
      </c>
      <c r="C222" s="15">
        <v>72.0</v>
      </c>
      <c r="D222" s="16" t="s">
        <v>37</v>
      </c>
      <c r="E222" s="30">
        <v>236250.0</v>
      </c>
      <c r="F222" s="17">
        <v>135000.0</v>
      </c>
      <c r="G222" s="30">
        <v>101250.0</v>
      </c>
    </row>
    <row r="223" ht="15.75" customHeight="1">
      <c r="B223" s="14" t="s">
        <v>170</v>
      </c>
      <c r="C223" s="15">
        <v>65.0</v>
      </c>
      <c r="D223" s="16" t="s">
        <v>10</v>
      </c>
      <c r="E223" s="30">
        <v>175000.0</v>
      </c>
      <c r="F223" s="17">
        <v>100000.0</v>
      </c>
      <c r="G223" s="30">
        <v>75000.0</v>
      </c>
    </row>
    <row r="224" ht="15.75" customHeight="1">
      <c r="B224" s="14" t="s">
        <v>171</v>
      </c>
      <c r="C224" s="15">
        <v>81.0</v>
      </c>
      <c r="D224" s="16" t="s">
        <v>71</v>
      </c>
      <c r="E224" s="30">
        <v>225500.0</v>
      </c>
      <c r="F224" s="17">
        <v>-130000.0</v>
      </c>
      <c r="G224" s="30">
        <v>95500.0</v>
      </c>
    </row>
    <row r="225" ht="15.75" customHeight="1">
      <c r="B225" s="14" t="s">
        <v>172</v>
      </c>
      <c r="C225" s="15">
        <v>32.0</v>
      </c>
      <c r="D225" s="16" t="s">
        <v>26</v>
      </c>
      <c r="E225" s="30">
        <v>262500.0</v>
      </c>
      <c r="F225" s="17">
        <v>150000.0</v>
      </c>
      <c r="G225" s="30">
        <v>112500.0</v>
      </c>
    </row>
    <row r="226" ht="15.75" customHeight="1">
      <c r="B226" s="14" t="s">
        <v>172</v>
      </c>
      <c r="C226" s="15">
        <v>89.0</v>
      </c>
      <c r="D226" s="16" t="s">
        <v>59</v>
      </c>
      <c r="E226" s="30">
        <v>245000.0</v>
      </c>
      <c r="F226" s="17">
        <v>140000.0</v>
      </c>
      <c r="G226" s="30">
        <v>112500.0</v>
      </c>
    </row>
    <row r="227" ht="15.75" customHeight="1">
      <c r="B227" s="14" t="s">
        <v>173</v>
      </c>
      <c r="C227" s="15">
        <v>65.0</v>
      </c>
      <c r="D227" s="16" t="s">
        <v>10</v>
      </c>
      <c r="E227" s="30">
        <v>175000.0</v>
      </c>
      <c r="F227" s="17">
        <v>100000.0</v>
      </c>
      <c r="G227" s="30">
        <v>75000.0</v>
      </c>
    </row>
    <row r="228" ht="15.75" customHeight="1">
      <c r="B228" s="14" t="s">
        <v>173</v>
      </c>
      <c r="C228" s="15">
        <v>89.0</v>
      </c>
      <c r="D228" s="16" t="s">
        <v>59</v>
      </c>
      <c r="E228" s="30">
        <v>245000.0</v>
      </c>
      <c r="F228" s="17">
        <v>140000.0</v>
      </c>
      <c r="G228" s="30">
        <v>112500.0</v>
      </c>
    </row>
    <row r="229" ht="15.75" customHeight="1">
      <c r="B229" s="14" t="s">
        <v>173</v>
      </c>
      <c r="C229" s="15">
        <v>44.0</v>
      </c>
      <c r="D229" s="16" t="s">
        <v>57</v>
      </c>
      <c r="E229" s="30">
        <v>271250.0</v>
      </c>
      <c r="F229" s="17">
        <v>150000.0</v>
      </c>
      <c r="G229" s="30">
        <v>121250.0</v>
      </c>
    </row>
    <row r="230" ht="15.75" customHeight="1">
      <c r="B230" s="20" t="s">
        <v>19</v>
      </c>
      <c r="C230" s="2"/>
      <c r="D230" s="3"/>
      <c r="E230" s="33">
        <f>SUM(E208:E229)</f>
        <v>4616000</v>
      </c>
      <c r="F230" s="21">
        <v>2635000.0</v>
      </c>
      <c r="G230" s="34">
        <f>SUM(G208:G229)</f>
        <v>1996000</v>
      </c>
      <c r="H230" s="23" t="s">
        <v>20</v>
      </c>
    </row>
    <row r="231" ht="15.75" customHeight="1">
      <c r="B231" s="35" t="s">
        <v>62</v>
      </c>
      <c r="C231" s="2"/>
      <c r="D231" s="3"/>
      <c r="E231" s="36"/>
      <c r="F231" s="37">
        <v>-360000.0</v>
      </c>
      <c r="G231" s="38"/>
    </row>
    <row r="232" ht="15.75" customHeight="1">
      <c r="B232" s="20" t="s">
        <v>63</v>
      </c>
      <c r="C232" s="2"/>
      <c r="D232" s="3"/>
      <c r="E232" s="21"/>
      <c r="F232" s="39">
        <f>SUM(F230:F231)</f>
        <v>2275000</v>
      </c>
      <c r="G232" s="14"/>
    </row>
    <row r="233" ht="15.75" customHeight="1">
      <c r="B233" s="19"/>
      <c r="D233" s="27"/>
    </row>
    <row r="234" ht="15.75" customHeight="1">
      <c r="B234" s="19"/>
      <c r="D234" s="27"/>
    </row>
    <row r="235" ht="15.75" customHeight="1">
      <c r="B235" s="19"/>
      <c r="D235" s="27"/>
    </row>
    <row r="236" ht="15.75" customHeight="1">
      <c r="B236" s="19"/>
      <c r="D236" s="27"/>
    </row>
    <row r="237" ht="15.75" customHeight="1">
      <c r="B237" s="32"/>
      <c r="C237" s="19"/>
      <c r="D237" s="26"/>
      <c r="G237" s="26"/>
    </row>
    <row r="238" ht="15.75" customHeight="1">
      <c r="B238" s="19"/>
      <c r="C238" s="19"/>
      <c r="D238" s="50"/>
    </row>
    <row r="239" ht="15.75" customHeight="1">
      <c r="B239" s="51"/>
      <c r="C239" s="19"/>
      <c r="D239" s="52"/>
    </row>
    <row r="240" ht="15.75" customHeight="1">
      <c r="B240" s="10"/>
      <c r="C240" s="10"/>
      <c r="D240" s="26"/>
    </row>
    <row r="241" ht="15.75" customHeight="1">
      <c r="B241" s="5"/>
      <c r="C241" s="5"/>
      <c r="D241" s="5"/>
    </row>
    <row r="242" ht="15.75" customHeight="1">
      <c r="B242" s="5"/>
      <c r="C242" s="5"/>
      <c r="D242" s="5"/>
    </row>
    <row r="243" ht="15.75" customHeight="1">
      <c r="B243" s="5"/>
      <c r="C243" s="5"/>
      <c r="D243" s="5"/>
    </row>
    <row r="244" ht="15.75" customHeight="1">
      <c r="B244" s="5"/>
      <c r="C244" s="5"/>
      <c r="D244" s="5"/>
    </row>
    <row r="245" ht="15.75" customHeight="1">
      <c r="B245" s="10"/>
      <c r="C245" s="10"/>
      <c r="D245" s="10"/>
    </row>
    <row r="246" ht="15.75" customHeight="1">
      <c r="B246" s="13"/>
      <c r="C246" s="13"/>
      <c r="D246" s="13"/>
    </row>
    <row r="247" ht="15.75" customHeight="1">
      <c r="B247" s="19"/>
      <c r="D247" s="27"/>
    </row>
    <row r="248" ht="15.75" customHeight="1">
      <c r="B248" s="19"/>
      <c r="D248" s="27"/>
    </row>
    <row r="249" ht="15.75" customHeight="1">
      <c r="B249" s="19"/>
      <c r="D249" s="27"/>
    </row>
    <row r="250" ht="15.75" customHeight="1">
      <c r="B250" s="19"/>
      <c r="D250" s="27"/>
    </row>
    <row r="251" ht="15.75" customHeight="1">
      <c r="B251" s="19"/>
      <c r="D251" s="27"/>
    </row>
    <row r="252" ht="15.75" customHeight="1">
      <c r="B252" s="19"/>
      <c r="D252" s="27"/>
    </row>
    <row r="253" ht="15.75" customHeight="1">
      <c r="B253" s="19"/>
      <c r="D253" s="27"/>
    </row>
    <row r="254" ht="15.75" customHeight="1">
      <c r="B254" s="19"/>
      <c r="D254" s="27"/>
    </row>
    <row r="255" ht="15.75" customHeight="1">
      <c r="B255" s="19"/>
      <c r="D255" s="27"/>
    </row>
    <row r="256" ht="15.75" customHeight="1">
      <c r="B256" s="19"/>
      <c r="D256" s="27"/>
    </row>
    <row r="257" ht="15.75" customHeight="1">
      <c r="B257" s="19"/>
      <c r="D257" s="27"/>
    </row>
    <row r="258" ht="15.75" customHeight="1">
      <c r="B258" s="19"/>
      <c r="D258" s="27"/>
    </row>
    <row r="259" ht="15.75" customHeight="1">
      <c r="B259" s="19"/>
      <c r="D259" s="27"/>
    </row>
    <row r="260" ht="15.75" customHeight="1">
      <c r="B260" s="19"/>
      <c r="D260" s="27"/>
    </row>
    <row r="261" ht="15.75" customHeight="1">
      <c r="B261" s="19"/>
      <c r="D261" s="27"/>
    </row>
    <row r="262" ht="15.75" customHeight="1">
      <c r="B262" s="19"/>
      <c r="D262" s="27"/>
    </row>
    <row r="263" ht="15.75" customHeight="1">
      <c r="B263" s="19"/>
      <c r="D263" s="27"/>
    </row>
    <row r="264" ht="15.75" customHeight="1">
      <c r="B264" s="19"/>
      <c r="D264" s="27"/>
    </row>
    <row r="265" ht="15.75" customHeight="1">
      <c r="B265" s="19"/>
      <c r="D265" s="27"/>
    </row>
    <row r="266" ht="15.75" customHeight="1">
      <c r="B266" s="19"/>
      <c r="D266" s="27"/>
    </row>
    <row r="267" ht="15.75" customHeight="1">
      <c r="B267" s="19"/>
      <c r="D267" s="27"/>
    </row>
    <row r="268" ht="15.75" customHeight="1">
      <c r="B268" s="19"/>
      <c r="D268" s="27"/>
    </row>
    <row r="269" ht="15.75" customHeight="1">
      <c r="B269" s="19"/>
      <c r="D269" s="27"/>
    </row>
    <row r="270" ht="15.75" customHeight="1">
      <c r="B270" s="19"/>
      <c r="D270" s="27"/>
    </row>
    <row r="271" ht="15.75" customHeight="1">
      <c r="B271" s="19"/>
      <c r="D271" s="27"/>
    </row>
    <row r="272" ht="15.75" customHeight="1">
      <c r="B272" s="19"/>
      <c r="D272" s="27"/>
    </row>
    <row r="273" ht="15.75" customHeight="1">
      <c r="B273" s="19"/>
      <c r="D273" s="27"/>
    </row>
    <row r="274" ht="15.75" customHeight="1">
      <c r="B274" s="19"/>
      <c r="D274" s="27"/>
    </row>
    <row r="275" ht="15.75" customHeight="1">
      <c r="B275" s="19"/>
      <c r="D275" s="27"/>
    </row>
    <row r="276" ht="15.75" customHeight="1">
      <c r="B276" s="19"/>
      <c r="D276" s="27"/>
    </row>
    <row r="277" ht="15.75" customHeight="1">
      <c r="B277" s="19"/>
      <c r="D277" s="27"/>
    </row>
    <row r="278" ht="15.75" customHeight="1">
      <c r="B278" s="10"/>
      <c r="C278" s="10"/>
      <c r="D278" s="26"/>
    </row>
    <row r="279" ht="15.75" customHeight="1">
      <c r="B279" s="19"/>
      <c r="D279" s="27"/>
    </row>
    <row r="280" ht="15.75" customHeight="1">
      <c r="B280" s="19"/>
      <c r="D280" s="27"/>
    </row>
    <row r="281" ht="15.75" customHeight="1">
      <c r="B281" s="19"/>
      <c r="D281" s="27"/>
    </row>
    <row r="282" ht="15.75" customHeight="1">
      <c r="B282" s="19"/>
      <c r="D282" s="27"/>
    </row>
    <row r="283" ht="15.75" customHeight="1">
      <c r="B283" s="19"/>
      <c r="D283" s="27"/>
    </row>
    <row r="284" ht="15.75" customHeight="1">
      <c r="B284" s="19"/>
      <c r="D284" s="27"/>
    </row>
    <row r="285" ht="15.75" customHeight="1">
      <c r="B285" s="19"/>
      <c r="D285" s="27"/>
    </row>
    <row r="286" ht="15.75" customHeight="1">
      <c r="B286" s="19"/>
      <c r="D286" s="27"/>
    </row>
    <row r="287" ht="15.75" customHeight="1">
      <c r="B287" s="19"/>
      <c r="D287" s="27"/>
    </row>
    <row r="288" ht="15.75" customHeight="1">
      <c r="B288" s="19"/>
      <c r="D288" s="27"/>
    </row>
    <row r="289" ht="15.75" customHeight="1">
      <c r="B289" s="19"/>
      <c r="D289" s="27"/>
    </row>
    <row r="290" ht="15.75" customHeight="1">
      <c r="B290" s="19"/>
      <c r="D290" s="27"/>
    </row>
    <row r="291" ht="15.75" customHeight="1">
      <c r="B291" s="19"/>
      <c r="D291" s="27"/>
    </row>
    <row r="292" ht="15.75" customHeight="1">
      <c r="B292" s="19"/>
      <c r="D292" s="27"/>
    </row>
    <row r="293" ht="15.75" customHeight="1">
      <c r="B293" s="19"/>
      <c r="D293" s="27"/>
    </row>
    <row r="294" ht="15.75" customHeight="1">
      <c r="B294" s="19"/>
      <c r="D294" s="27"/>
    </row>
    <row r="295" ht="15.75" customHeight="1">
      <c r="B295" s="19"/>
      <c r="D295" s="27"/>
    </row>
    <row r="296" ht="15.75" customHeight="1">
      <c r="B296" s="19"/>
      <c r="D296" s="27"/>
    </row>
    <row r="297" ht="15.75" customHeight="1">
      <c r="B297" s="19"/>
      <c r="D297" s="27"/>
    </row>
    <row r="298" ht="15.75" customHeight="1">
      <c r="B298" s="19"/>
      <c r="D298" s="27"/>
    </row>
    <row r="299" ht="15.75" customHeight="1">
      <c r="B299" s="19"/>
      <c r="D299" s="27"/>
    </row>
    <row r="300" ht="15.75" customHeight="1">
      <c r="B300" s="19"/>
      <c r="D300" s="27"/>
    </row>
    <row r="301" ht="15.75" customHeight="1">
      <c r="B301" s="19"/>
      <c r="D301" s="27"/>
    </row>
    <row r="302" ht="15.75" customHeight="1">
      <c r="B302" s="19"/>
      <c r="D302" s="27"/>
    </row>
    <row r="303" ht="15.75" customHeight="1">
      <c r="B303" s="19"/>
      <c r="D303" s="27"/>
    </row>
    <row r="304" ht="15.75" customHeight="1">
      <c r="B304" s="19"/>
      <c r="D304" s="27"/>
    </row>
    <row r="305" ht="15.75" customHeight="1">
      <c r="B305" s="19"/>
      <c r="D305" s="27"/>
    </row>
    <row r="306" ht="15.75" customHeight="1">
      <c r="B306" s="19"/>
      <c r="D306" s="27"/>
    </row>
    <row r="307" ht="15.75" customHeight="1">
      <c r="B307" s="19"/>
      <c r="D307" s="27"/>
    </row>
    <row r="308" ht="15.75" customHeight="1">
      <c r="B308" s="19"/>
      <c r="D308" s="27"/>
    </row>
    <row r="309" ht="15.75" customHeight="1">
      <c r="B309" s="19"/>
      <c r="D309" s="27"/>
    </row>
    <row r="310" ht="15.75" customHeight="1">
      <c r="B310" s="19"/>
      <c r="D310" s="27"/>
    </row>
    <row r="311" ht="15.75" customHeight="1">
      <c r="B311" s="19"/>
      <c r="D311" s="27"/>
    </row>
    <row r="312" ht="15.75" customHeight="1">
      <c r="B312" s="19"/>
      <c r="D312" s="27"/>
    </row>
    <row r="313" ht="15.75" customHeight="1">
      <c r="B313" s="19"/>
      <c r="D313" s="27"/>
    </row>
    <row r="314" ht="15.75" customHeight="1">
      <c r="B314" s="19"/>
      <c r="D314" s="27"/>
    </row>
    <row r="315" ht="15.75" customHeight="1">
      <c r="B315" s="19"/>
      <c r="D315" s="27"/>
    </row>
    <row r="316" ht="15.75" customHeight="1">
      <c r="B316" s="19"/>
      <c r="D316" s="27"/>
    </row>
    <row r="317" ht="15.75" customHeight="1">
      <c r="B317" s="19"/>
      <c r="D317" s="27"/>
    </row>
    <row r="318" ht="15.75" customHeight="1">
      <c r="B318" s="10"/>
      <c r="C318" s="10"/>
      <c r="D318" s="26"/>
    </row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2">
    <mergeCell ref="B205:D205"/>
    <mergeCell ref="B206:D206"/>
    <mergeCell ref="B230:D230"/>
    <mergeCell ref="B231:D231"/>
    <mergeCell ref="B232:D232"/>
    <mergeCell ref="B159:D159"/>
    <mergeCell ref="B160:D160"/>
    <mergeCell ref="B199:D199"/>
    <mergeCell ref="B200:D200"/>
    <mergeCell ref="B201:D201"/>
    <mergeCell ref="B204:D204"/>
    <mergeCell ref="E204:E206"/>
    <mergeCell ref="B2:D2"/>
    <mergeCell ref="E2:E4"/>
    <mergeCell ref="F2:F4"/>
    <mergeCell ref="G2:G4"/>
    <mergeCell ref="B3:D3"/>
    <mergeCell ref="B4:D4"/>
    <mergeCell ref="B12:D12"/>
    <mergeCell ref="B13:D13"/>
    <mergeCell ref="B16:D16"/>
    <mergeCell ref="E16:E18"/>
    <mergeCell ref="F16:F18"/>
    <mergeCell ref="G16:G18"/>
    <mergeCell ref="B17:D17"/>
    <mergeCell ref="B18:D18"/>
    <mergeCell ref="B62:D62"/>
    <mergeCell ref="B63:D63"/>
    <mergeCell ref="B64:D64"/>
    <mergeCell ref="B67:D67"/>
    <mergeCell ref="E67:E69"/>
    <mergeCell ref="F67:F69"/>
    <mergeCell ref="G67:G69"/>
    <mergeCell ref="F124:F126"/>
    <mergeCell ref="G124:G126"/>
    <mergeCell ref="B68:D68"/>
    <mergeCell ref="B69:D69"/>
    <mergeCell ref="B119:D119"/>
    <mergeCell ref="B120:D120"/>
    <mergeCell ref="B121:D121"/>
    <mergeCell ref="B124:D124"/>
    <mergeCell ref="E124:E126"/>
    <mergeCell ref="B125:D125"/>
    <mergeCell ref="B126:D126"/>
    <mergeCell ref="B155:D155"/>
    <mergeCell ref="B156:D156"/>
    <mergeCell ref="E159:E161"/>
    <mergeCell ref="F159:F161"/>
    <mergeCell ref="G159:G161"/>
    <mergeCell ref="B161:D161"/>
    <mergeCell ref="F204:F206"/>
    <mergeCell ref="G204:G20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4.29"/>
    <col customWidth="1" min="3" max="3" width="7.29"/>
    <col customWidth="1" min="4" max="4" width="37.57"/>
    <col customWidth="1" min="5" max="5" width="14.71"/>
    <col customWidth="1" min="6" max="6" width="21.86"/>
    <col customWidth="1" min="7" max="7" width="22.14"/>
    <col customWidth="1" min="8" max="8" width="19.0"/>
    <col customWidth="1" min="9" max="9" width="41.29"/>
    <col customWidth="1" min="10" max="10" width="10.71"/>
    <col customWidth="1" min="11" max="11" width="15.29"/>
    <col customWidth="1" min="12" max="12" width="15.57"/>
    <col customWidth="1" min="13" max="26" width="10.71"/>
  </cols>
  <sheetData>
    <row r="2">
      <c r="B2" s="1" t="s">
        <v>0</v>
      </c>
      <c r="C2" s="2"/>
      <c r="D2" s="3"/>
      <c r="E2" s="4"/>
      <c r="F2" s="4"/>
      <c r="G2" s="4"/>
      <c r="H2" s="5"/>
      <c r="J2" s="5"/>
      <c r="K2" s="5"/>
      <c r="L2" s="5"/>
    </row>
    <row r="3">
      <c r="B3" s="6" t="s">
        <v>174</v>
      </c>
      <c r="C3" s="2"/>
      <c r="D3" s="3"/>
      <c r="E3" s="7"/>
      <c r="F3" s="7"/>
      <c r="G3" s="7"/>
      <c r="H3" s="5"/>
      <c r="J3" s="5"/>
      <c r="K3" s="5"/>
      <c r="L3" s="5"/>
    </row>
    <row r="4">
      <c r="B4" s="8" t="s">
        <v>2</v>
      </c>
      <c r="C4" s="2"/>
      <c r="D4" s="3"/>
      <c r="E4" s="9"/>
      <c r="F4" s="9"/>
      <c r="G4" s="9"/>
      <c r="H4" s="10"/>
      <c r="J4" s="10"/>
      <c r="K4" s="10"/>
      <c r="L4" s="10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  <c r="H5" s="13"/>
      <c r="J5" s="13"/>
      <c r="K5" s="13"/>
      <c r="L5" s="13"/>
    </row>
    <row r="6">
      <c r="B6" s="14" t="s">
        <v>9</v>
      </c>
      <c r="C6" s="15">
        <v>480.0</v>
      </c>
      <c r="D6" s="16" t="s">
        <v>175</v>
      </c>
      <c r="E6" s="30">
        <v>367500.0</v>
      </c>
      <c r="F6" s="17">
        <v>210000.0</v>
      </c>
      <c r="G6" s="30">
        <v>157500.0</v>
      </c>
      <c r="H6" s="18"/>
      <c r="J6" s="19"/>
      <c r="L6" s="18"/>
    </row>
    <row r="7">
      <c r="B7" s="14" t="s">
        <v>176</v>
      </c>
      <c r="C7" s="15">
        <v>450.0</v>
      </c>
      <c r="D7" s="16" t="s">
        <v>177</v>
      </c>
      <c r="E7" s="30">
        <v>87500.0</v>
      </c>
      <c r="F7" s="17">
        <v>50000.0</v>
      </c>
      <c r="G7" s="30">
        <v>37500.0</v>
      </c>
      <c r="H7" s="31"/>
      <c r="J7" s="19"/>
      <c r="L7" s="18"/>
    </row>
    <row r="8">
      <c r="B8" s="14" t="s">
        <v>178</v>
      </c>
      <c r="C8" s="15">
        <v>447.0</v>
      </c>
      <c r="D8" s="16" t="s">
        <v>179</v>
      </c>
      <c r="E8" s="30">
        <v>105000.0</v>
      </c>
      <c r="F8" s="17">
        <v>60000.0</v>
      </c>
      <c r="G8" s="30">
        <v>45000.0</v>
      </c>
      <c r="H8" s="31"/>
      <c r="J8" s="10"/>
      <c r="K8" s="10"/>
      <c r="L8" s="31"/>
    </row>
    <row r="9">
      <c r="B9" s="14" t="s">
        <v>180</v>
      </c>
      <c r="C9" s="15">
        <v>469.0</v>
      </c>
      <c r="D9" s="16" t="s">
        <v>181</v>
      </c>
      <c r="E9" s="30">
        <v>78750.0</v>
      </c>
      <c r="F9" s="17">
        <v>60000.0</v>
      </c>
      <c r="G9" s="30">
        <v>18750.0</v>
      </c>
      <c r="H9" s="5"/>
    </row>
    <row r="10">
      <c r="B10" s="14" t="s">
        <v>182</v>
      </c>
      <c r="C10" s="15"/>
      <c r="D10" s="16" t="s">
        <v>183</v>
      </c>
      <c r="E10" s="30">
        <v>62562.0</v>
      </c>
      <c r="F10" s="17">
        <v>35750.0</v>
      </c>
      <c r="G10" s="30">
        <v>26812.0</v>
      </c>
      <c r="H10" s="5"/>
    </row>
    <row r="11">
      <c r="B11" s="14" t="s">
        <v>182</v>
      </c>
      <c r="C11" s="15"/>
      <c r="D11" s="16" t="s">
        <v>183</v>
      </c>
      <c r="E11" s="30">
        <v>62562.0</v>
      </c>
      <c r="F11" s="17">
        <v>35750.0</v>
      </c>
      <c r="G11" s="30">
        <v>26812.0</v>
      </c>
      <c r="H11" s="10"/>
    </row>
    <row r="12">
      <c r="B12" s="20" t="s">
        <v>19</v>
      </c>
      <c r="C12" s="2"/>
      <c r="D12" s="3"/>
      <c r="E12" s="33">
        <f t="shared" ref="E12:G12" si="1">SUM(E6:E11)</f>
        <v>763874</v>
      </c>
      <c r="F12" s="21">
        <f t="shared" si="1"/>
        <v>451500</v>
      </c>
      <c r="G12" s="49">
        <f t="shared" si="1"/>
        <v>312374</v>
      </c>
      <c r="H12" s="23" t="s">
        <v>20</v>
      </c>
    </row>
    <row r="13">
      <c r="B13" s="20" t="s">
        <v>63</v>
      </c>
      <c r="C13" s="2"/>
      <c r="D13" s="3"/>
      <c r="E13" s="33"/>
      <c r="F13" s="21">
        <f>SUM(F12)</f>
        <v>451500</v>
      </c>
      <c r="G13" s="33"/>
      <c r="H13" s="18"/>
    </row>
    <row r="14">
      <c r="B14" s="13"/>
      <c r="C14" s="13"/>
      <c r="D14" s="13"/>
      <c r="G14" s="19"/>
      <c r="H14" s="18"/>
    </row>
    <row r="15">
      <c r="B15" s="19"/>
      <c r="D15" s="27"/>
      <c r="G15" s="19"/>
      <c r="H15" s="18"/>
    </row>
    <row r="16">
      <c r="B16" s="1" t="s">
        <v>0</v>
      </c>
      <c r="C16" s="2"/>
      <c r="D16" s="3"/>
      <c r="E16" s="4"/>
      <c r="F16" s="4"/>
      <c r="G16" s="4"/>
      <c r="H16" s="18"/>
    </row>
    <row r="17">
      <c r="B17" s="6" t="s">
        <v>174</v>
      </c>
      <c r="C17" s="2"/>
      <c r="D17" s="3"/>
      <c r="E17" s="7"/>
      <c r="F17" s="7"/>
      <c r="G17" s="7"/>
      <c r="H17" s="18"/>
    </row>
    <row r="18">
      <c r="B18" s="8" t="s">
        <v>22</v>
      </c>
      <c r="C18" s="2"/>
      <c r="D18" s="3"/>
      <c r="E18" s="9"/>
      <c r="F18" s="9"/>
      <c r="G18" s="9"/>
      <c r="H18" s="18"/>
    </row>
    <row r="19">
      <c r="B19" s="11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G19" s="12" t="s">
        <v>8</v>
      </c>
      <c r="H19" s="29"/>
    </row>
    <row r="20">
      <c r="B20" s="14" t="s">
        <v>34</v>
      </c>
      <c r="C20" s="15">
        <v>465.0</v>
      </c>
      <c r="D20" s="16" t="s">
        <v>184</v>
      </c>
      <c r="E20" s="30">
        <v>166250.0</v>
      </c>
      <c r="F20" s="17">
        <v>95000.0</v>
      </c>
      <c r="G20" s="30">
        <v>71250.0</v>
      </c>
      <c r="H20" s="29"/>
    </row>
    <row r="21">
      <c r="B21" s="14" t="s">
        <v>34</v>
      </c>
      <c r="C21" s="15">
        <v>479.0</v>
      </c>
      <c r="D21" s="16" t="s">
        <v>185</v>
      </c>
      <c r="E21" s="30">
        <v>210000.0</v>
      </c>
      <c r="F21" s="17">
        <v>120000.0</v>
      </c>
      <c r="G21" s="30">
        <v>90000.0</v>
      </c>
      <c r="H21" s="31"/>
    </row>
    <row r="22" ht="15.75" customHeight="1">
      <c r="B22" s="14" t="s">
        <v>40</v>
      </c>
      <c r="C22" s="15">
        <v>461.0</v>
      </c>
      <c r="D22" s="16" t="s">
        <v>186</v>
      </c>
      <c r="E22" s="30">
        <v>78750.0</v>
      </c>
      <c r="F22" s="17">
        <v>45000.0</v>
      </c>
      <c r="G22" s="30">
        <v>33750.0</v>
      </c>
    </row>
    <row r="23" ht="15.75" customHeight="1">
      <c r="B23" s="14" t="s">
        <v>40</v>
      </c>
      <c r="C23" s="15">
        <v>481.0</v>
      </c>
      <c r="D23" s="16" t="s">
        <v>187</v>
      </c>
      <c r="E23" s="30">
        <v>227500.0</v>
      </c>
      <c r="F23" s="17">
        <v>130000.0</v>
      </c>
      <c r="G23" s="30">
        <v>97500.0</v>
      </c>
      <c r="H23" s="5"/>
    </row>
    <row r="24" ht="15.75" customHeight="1">
      <c r="B24" s="14" t="s">
        <v>42</v>
      </c>
      <c r="C24" s="15">
        <v>450.0</v>
      </c>
      <c r="D24" s="16" t="s">
        <v>188</v>
      </c>
      <c r="E24" s="30">
        <v>74375.0</v>
      </c>
      <c r="F24" s="17">
        <v>50000.0</v>
      </c>
      <c r="G24" s="30">
        <v>24375.0</v>
      </c>
      <c r="H24" s="5"/>
    </row>
    <row r="25" ht="15.75" customHeight="1">
      <c r="B25" s="14" t="s">
        <v>42</v>
      </c>
      <c r="C25" s="15">
        <v>450.0</v>
      </c>
      <c r="D25" s="16" t="s">
        <v>189</v>
      </c>
      <c r="E25" s="30">
        <v>78750.0</v>
      </c>
      <c r="F25" s="17">
        <v>45000.0</v>
      </c>
      <c r="G25" s="30">
        <v>33750.0</v>
      </c>
      <c r="H25" s="10"/>
    </row>
    <row r="26" ht="15.75" customHeight="1">
      <c r="B26" s="14" t="s">
        <v>42</v>
      </c>
      <c r="C26" s="15">
        <v>450.0</v>
      </c>
      <c r="D26" s="16" t="s">
        <v>189</v>
      </c>
      <c r="E26" s="30">
        <v>78750.0</v>
      </c>
      <c r="F26" s="17">
        <v>45000.0</v>
      </c>
      <c r="G26" s="30">
        <v>33750.0</v>
      </c>
      <c r="H26" s="13"/>
    </row>
    <row r="27" ht="15.75" customHeight="1">
      <c r="B27" s="14" t="s">
        <v>42</v>
      </c>
      <c r="C27" s="15">
        <v>481.0</v>
      </c>
      <c r="D27" s="16" t="s">
        <v>187</v>
      </c>
      <c r="E27" s="30">
        <v>227500.0</v>
      </c>
      <c r="F27" s="17">
        <v>130000.0</v>
      </c>
      <c r="G27" s="30">
        <v>97500.0</v>
      </c>
      <c r="H27" s="18"/>
    </row>
    <row r="28" ht="15.75" customHeight="1">
      <c r="B28" s="14" t="s">
        <v>42</v>
      </c>
      <c r="C28" s="15">
        <v>448.0</v>
      </c>
      <c r="D28" s="16" t="s">
        <v>190</v>
      </c>
      <c r="E28" s="30">
        <v>131250.0</v>
      </c>
      <c r="F28" s="17">
        <v>75000.0</v>
      </c>
      <c r="G28" s="30">
        <v>56250.0</v>
      </c>
      <c r="H28" s="18"/>
    </row>
    <row r="29" ht="15.75" customHeight="1">
      <c r="B29" s="14" t="s">
        <v>34</v>
      </c>
      <c r="C29" s="15">
        <v>456.0</v>
      </c>
      <c r="D29" s="16" t="s">
        <v>191</v>
      </c>
      <c r="E29" s="30">
        <v>166250.0</v>
      </c>
      <c r="F29" s="17">
        <v>95000.0</v>
      </c>
      <c r="G29" s="30">
        <v>71250.0</v>
      </c>
      <c r="H29" s="31"/>
    </row>
    <row r="30" ht="15.75" customHeight="1">
      <c r="B30" s="14" t="s">
        <v>52</v>
      </c>
      <c r="C30" s="15">
        <v>448.0</v>
      </c>
      <c r="D30" s="16" t="s">
        <v>190</v>
      </c>
      <c r="E30" s="30">
        <v>131250.0</v>
      </c>
      <c r="F30" s="17">
        <v>75000.0</v>
      </c>
      <c r="G30" s="30">
        <v>56250.0</v>
      </c>
      <c r="H30" s="18"/>
    </row>
    <row r="31" ht="15.75" customHeight="1">
      <c r="B31" s="14" t="s">
        <v>192</v>
      </c>
      <c r="C31" s="15">
        <v>471.0</v>
      </c>
      <c r="D31" s="16" t="s">
        <v>193</v>
      </c>
      <c r="E31" s="30">
        <v>124687.0</v>
      </c>
      <c r="F31" s="17">
        <v>71250.0</v>
      </c>
      <c r="G31" s="30">
        <v>53437.0</v>
      </c>
      <c r="H31" s="5"/>
    </row>
    <row r="32" ht="15.75" customHeight="1">
      <c r="B32" s="20" t="s">
        <v>19</v>
      </c>
      <c r="C32" s="2"/>
      <c r="D32" s="3"/>
      <c r="E32" s="33">
        <f t="shared" ref="E32:G32" si="2">SUM(E20:E31)</f>
        <v>1695312</v>
      </c>
      <c r="F32" s="21">
        <f t="shared" si="2"/>
        <v>976250</v>
      </c>
      <c r="G32" s="49">
        <f t="shared" si="2"/>
        <v>719062</v>
      </c>
      <c r="H32" s="23" t="s">
        <v>20</v>
      </c>
    </row>
    <row r="33" ht="15.75" customHeight="1">
      <c r="B33" s="20" t="s">
        <v>63</v>
      </c>
      <c r="C33" s="2"/>
      <c r="D33" s="3"/>
      <c r="E33" s="33"/>
      <c r="F33" s="21">
        <f>SUM(F32)</f>
        <v>976250</v>
      </c>
      <c r="G33" s="33"/>
      <c r="H33" s="10"/>
      <c r="J33" s="5"/>
      <c r="K33" s="5"/>
      <c r="L33" s="5"/>
    </row>
    <row r="34" ht="15.75" customHeight="1">
      <c r="B34" s="5"/>
      <c r="C34" s="5"/>
      <c r="D34" s="5"/>
      <c r="G34" s="10"/>
      <c r="H34" s="10"/>
      <c r="J34" s="5"/>
      <c r="K34" s="5"/>
      <c r="L34" s="5"/>
    </row>
    <row r="35" ht="15.75" customHeight="1">
      <c r="B35" s="5"/>
      <c r="C35" s="5"/>
      <c r="D35" s="5"/>
      <c r="G35" s="13"/>
      <c r="H35" s="13"/>
      <c r="J35" s="5"/>
      <c r="K35" s="5"/>
      <c r="L35" s="5"/>
    </row>
    <row r="36" ht="15.75" customHeight="1">
      <c r="B36" s="1" t="s">
        <v>0</v>
      </c>
      <c r="C36" s="2"/>
      <c r="D36" s="3"/>
      <c r="E36" s="4"/>
      <c r="F36" s="4"/>
      <c r="G36" s="4"/>
      <c r="H36" s="18"/>
      <c r="J36" s="10"/>
      <c r="K36" s="10"/>
      <c r="L36" s="10"/>
    </row>
    <row r="37" ht="15.75" customHeight="1">
      <c r="B37" s="6" t="s">
        <v>174</v>
      </c>
      <c r="C37" s="2"/>
      <c r="D37" s="3"/>
      <c r="E37" s="7"/>
      <c r="F37" s="7"/>
      <c r="G37" s="7"/>
      <c r="H37" s="18"/>
      <c r="J37" s="32"/>
      <c r="K37" s="32"/>
      <c r="L37" s="29"/>
    </row>
    <row r="38" ht="15.75" customHeight="1">
      <c r="B38" s="8" t="s">
        <v>64</v>
      </c>
      <c r="C38" s="2"/>
      <c r="D38" s="3"/>
      <c r="E38" s="9"/>
      <c r="F38" s="9"/>
      <c r="G38" s="9"/>
      <c r="H38" s="18"/>
      <c r="J38" s="32"/>
      <c r="K38" s="32"/>
      <c r="L38" s="29"/>
    </row>
    <row r="39" ht="15.75" customHeight="1">
      <c r="B39" s="11" t="s">
        <v>3</v>
      </c>
      <c r="C39" s="11" t="s">
        <v>4</v>
      </c>
      <c r="D39" s="11" t="s">
        <v>5</v>
      </c>
      <c r="E39" s="11" t="s">
        <v>6</v>
      </c>
      <c r="F39" s="11" t="s">
        <v>7</v>
      </c>
      <c r="G39" s="12" t="s">
        <v>8</v>
      </c>
      <c r="H39" s="31"/>
      <c r="J39" s="10"/>
      <c r="K39" s="10"/>
      <c r="L39" s="31"/>
    </row>
    <row r="40" ht="15.75" customHeight="1">
      <c r="B40" s="14" t="s">
        <v>65</v>
      </c>
      <c r="C40" s="15">
        <v>483.0</v>
      </c>
      <c r="D40" s="16" t="s">
        <v>194</v>
      </c>
      <c r="E40" s="17">
        <v>385000.0</v>
      </c>
      <c r="F40" s="17">
        <v>220000.0</v>
      </c>
      <c r="G40" s="17">
        <v>165000.0</v>
      </c>
    </row>
    <row r="41" ht="15.75" customHeight="1">
      <c r="B41" s="14" t="s">
        <v>195</v>
      </c>
      <c r="C41" s="15">
        <v>456.0</v>
      </c>
      <c r="D41" s="16" t="s">
        <v>191</v>
      </c>
      <c r="E41" s="17">
        <v>166250.0</v>
      </c>
      <c r="F41" s="17">
        <v>110000.0</v>
      </c>
      <c r="G41" s="17">
        <v>56250.0</v>
      </c>
    </row>
    <row r="42" ht="15.75" customHeight="1">
      <c r="B42" s="14" t="s">
        <v>195</v>
      </c>
      <c r="C42" s="15">
        <v>471.0</v>
      </c>
      <c r="D42" s="16" t="s">
        <v>196</v>
      </c>
      <c r="E42" s="17">
        <v>124687.0</v>
      </c>
      <c r="F42" s="17">
        <v>71250.0</v>
      </c>
      <c r="G42" s="17">
        <v>53437.0</v>
      </c>
    </row>
    <row r="43" ht="15.75" customHeight="1">
      <c r="B43" s="14" t="s">
        <v>195</v>
      </c>
      <c r="C43" s="15">
        <v>451.0</v>
      </c>
      <c r="D43" s="16" t="s">
        <v>197</v>
      </c>
      <c r="E43" s="17">
        <v>227500.0</v>
      </c>
      <c r="F43" s="17">
        <v>130000.0</v>
      </c>
      <c r="G43" s="17">
        <v>97500.0</v>
      </c>
    </row>
    <row r="44" ht="15.75" customHeight="1">
      <c r="B44" s="14" t="s">
        <v>68</v>
      </c>
      <c r="C44" s="15">
        <v>450.0</v>
      </c>
      <c r="D44" s="16" t="s">
        <v>188</v>
      </c>
      <c r="E44" s="17">
        <v>87500.0</v>
      </c>
      <c r="F44" s="17">
        <v>50000.0</v>
      </c>
      <c r="G44" s="17">
        <v>37500.0</v>
      </c>
    </row>
    <row r="45" ht="15.75" customHeight="1">
      <c r="B45" s="14" t="s">
        <v>198</v>
      </c>
      <c r="C45" s="15">
        <v>450.0</v>
      </c>
      <c r="D45" s="16" t="s">
        <v>188</v>
      </c>
      <c r="E45" s="17">
        <v>87500.0</v>
      </c>
      <c r="F45" s="17">
        <v>50000.0</v>
      </c>
      <c r="G45" s="17">
        <v>37500.0</v>
      </c>
    </row>
    <row r="46" ht="15.75" customHeight="1">
      <c r="B46" s="14" t="s">
        <v>70</v>
      </c>
      <c r="C46" s="15">
        <v>448.0</v>
      </c>
      <c r="D46" s="16" t="s">
        <v>190</v>
      </c>
      <c r="E46" s="17">
        <v>140000.0</v>
      </c>
      <c r="F46" s="17">
        <v>80000.0</v>
      </c>
      <c r="G46" s="17">
        <v>60000.0</v>
      </c>
    </row>
    <row r="47" ht="15.75" customHeight="1">
      <c r="B47" s="14" t="s">
        <v>72</v>
      </c>
      <c r="C47" s="15">
        <v>479.0</v>
      </c>
      <c r="D47" s="16" t="s">
        <v>185</v>
      </c>
      <c r="E47" s="17">
        <v>210000.0</v>
      </c>
      <c r="F47" s="17">
        <v>120000.0</v>
      </c>
      <c r="G47" s="17">
        <v>90000.0</v>
      </c>
    </row>
    <row r="48" ht="15.75" customHeight="1">
      <c r="B48" s="14" t="s">
        <v>83</v>
      </c>
      <c r="C48" s="15">
        <v>451.0</v>
      </c>
      <c r="D48" s="16" t="s">
        <v>197</v>
      </c>
      <c r="E48" s="17">
        <v>227500.0</v>
      </c>
      <c r="F48" s="17">
        <v>130000.0</v>
      </c>
      <c r="G48" s="17">
        <v>97500.0</v>
      </c>
    </row>
    <row r="49" ht="15.75" customHeight="1">
      <c r="B49" s="14" t="s">
        <v>87</v>
      </c>
      <c r="C49" s="15">
        <v>479.0</v>
      </c>
      <c r="D49" s="16" t="s">
        <v>185</v>
      </c>
      <c r="E49" s="17">
        <v>210000.0</v>
      </c>
      <c r="F49" s="17">
        <v>120000.0</v>
      </c>
      <c r="G49" s="17">
        <v>90000.0</v>
      </c>
    </row>
    <row r="50" ht="15.75" customHeight="1">
      <c r="B50" s="14" t="s">
        <v>88</v>
      </c>
      <c r="C50" s="15">
        <v>457.0</v>
      </c>
      <c r="D50" s="16" t="s">
        <v>199</v>
      </c>
      <c r="E50" s="17">
        <v>385000.0</v>
      </c>
      <c r="F50" s="17">
        <v>220000.0</v>
      </c>
      <c r="G50" s="17">
        <v>165000.0</v>
      </c>
    </row>
    <row r="51" ht="15.75" customHeight="1">
      <c r="B51" s="14" t="s">
        <v>91</v>
      </c>
      <c r="C51" s="15">
        <v>448.0</v>
      </c>
      <c r="D51" s="16" t="s">
        <v>190</v>
      </c>
      <c r="E51" s="17">
        <v>140000.0</v>
      </c>
      <c r="F51" s="17">
        <v>80000.0</v>
      </c>
      <c r="G51" s="17">
        <v>60000.0</v>
      </c>
    </row>
    <row r="52" ht="15.75" customHeight="1">
      <c r="B52" s="14" t="s">
        <v>91</v>
      </c>
      <c r="C52" s="15">
        <v>448.0</v>
      </c>
      <c r="D52" s="16" t="s">
        <v>190</v>
      </c>
      <c r="E52" s="17">
        <v>140000.0</v>
      </c>
      <c r="F52" s="17">
        <v>80000.0</v>
      </c>
      <c r="G52" s="17">
        <v>60000.0</v>
      </c>
    </row>
    <row r="53" ht="15.75" customHeight="1">
      <c r="B53" s="14" t="s">
        <v>92</v>
      </c>
      <c r="C53" s="15">
        <v>450.0</v>
      </c>
      <c r="D53" s="16" t="s">
        <v>188</v>
      </c>
      <c r="E53" s="17">
        <v>87500.0</v>
      </c>
      <c r="F53" s="17">
        <v>50000.0</v>
      </c>
      <c r="G53" s="17">
        <v>37500.0</v>
      </c>
    </row>
    <row r="54" ht="15.75" customHeight="1">
      <c r="B54" s="14" t="s">
        <v>94</v>
      </c>
      <c r="C54" s="15">
        <v>450.0</v>
      </c>
      <c r="D54" s="16" t="s">
        <v>188</v>
      </c>
      <c r="E54" s="17">
        <v>87500.0</v>
      </c>
      <c r="F54" s="17">
        <v>50000.0</v>
      </c>
      <c r="G54" s="17">
        <v>37500.0</v>
      </c>
    </row>
    <row r="55" ht="15.75" customHeight="1">
      <c r="B55" s="14" t="s">
        <v>94</v>
      </c>
      <c r="C55" s="15">
        <v>451.0</v>
      </c>
      <c r="D55" s="16" t="s">
        <v>197</v>
      </c>
      <c r="E55" s="17">
        <v>227500.0</v>
      </c>
      <c r="F55" s="17">
        <v>130000.0</v>
      </c>
      <c r="G55" s="17">
        <v>97500.0</v>
      </c>
    </row>
    <row r="56" ht="15.75" customHeight="1">
      <c r="B56" s="14" t="s">
        <v>94</v>
      </c>
      <c r="C56" s="15">
        <v>450.0</v>
      </c>
      <c r="D56" s="16" t="s">
        <v>188</v>
      </c>
      <c r="E56" s="17">
        <v>87500.0</v>
      </c>
      <c r="F56" s="17">
        <v>50000.0</v>
      </c>
      <c r="G56" s="17">
        <v>37500.0</v>
      </c>
    </row>
    <row r="57" ht="15.75" customHeight="1">
      <c r="B57" s="14" t="s">
        <v>98</v>
      </c>
      <c r="C57" s="15">
        <v>465.0</v>
      </c>
      <c r="D57" s="16" t="s">
        <v>184</v>
      </c>
      <c r="E57" s="17">
        <v>192500.0</v>
      </c>
      <c r="F57" s="17">
        <v>110000.0</v>
      </c>
      <c r="G57" s="17">
        <v>82500.0</v>
      </c>
    </row>
    <row r="58" ht="15.75" customHeight="1">
      <c r="B58" s="20" t="s">
        <v>19</v>
      </c>
      <c r="C58" s="2"/>
      <c r="D58" s="3"/>
      <c r="E58" s="21">
        <f t="shared" ref="E58:G58" si="3">SUM(E40:E57)</f>
        <v>3213437</v>
      </c>
      <c r="F58" s="21">
        <f t="shared" si="3"/>
        <v>1851250</v>
      </c>
      <c r="G58" s="22">
        <f t="shared" si="3"/>
        <v>1362187</v>
      </c>
      <c r="H58" s="23" t="s">
        <v>20</v>
      </c>
    </row>
    <row r="59" ht="15.75" customHeight="1">
      <c r="B59" s="20" t="s">
        <v>63</v>
      </c>
      <c r="C59" s="2"/>
      <c r="D59" s="3"/>
      <c r="E59" s="21"/>
      <c r="F59" s="21">
        <f>SUM(F58)</f>
        <v>1851250</v>
      </c>
      <c r="G59" s="21"/>
    </row>
    <row r="60" ht="15.75" customHeight="1">
      <c r="B60" s="32"/>
      <c r="C60" s="32"/>
      <c r="D60" s="29"/>
    </row>
    <row r="61" ht="15.75" customHeight="1">
      <c r="B61" s="32"/>
      <c r="C61" s="32"/>
      <c r="D61" s="29"/>
    </row>
    <row r="62" ht="15.75" customHeight="1">
      <c r="B62" s="1" t="s">
        <v>0</v>
      </c>
      <c r="C62" s="2"/>
      <c r="D62" s="3"/>
      <c r="E62" s="28"/>
      <c r="F62" s="28"/>
      <c r="G62" s="28"/>
    </row>
    <row r="63" ht="15.75" customHeight="1">
      <c r="B63" s="6" t="s">
        <v>174</v>
      </c>
      <c r="C63" s="2"/>
      <c r="D63" s="3"/>
      <c r="E63" s="7"/>
      <c r="F63" s="7"/>
      <c r="G63" s="7"/>
    </row>
    <row r="64" ht="15.75" customHeight="1">
      <c r="B64" s="8" t="s">
        <v>101</v>
      </c>
      <c r="C64" s="2"/>
      <c r="D64" s="3"/>
      <c r="E64" s="9"/>
      <c r="F64" s="9"/>
      <c r="G64" s="9"/>
    </row>
    <row r="65" ht="15.75" customHeight="1">
      <c r="B65" s="47" t="s">
        <v>3</v>
      </c>
      <c r="C65" s="47" t="s">
        <v>4</v>
      </c>
      <c r="D65" s="47" t="s">
        <v>5</v>
      </c>
      <c r="E65" s="47" t="s">
        <v>6</v>
      </c>
      <c r="F65" s="47" t="s">
        <v>7</v>
      </c>
      <c r="G65" s="48" t="s">
        <v>8</v>
      </c>
    </row>
    <row r="66" ht="15.75" customHeight="1">
      <c r="B66" s="14" t="s">
        <v>104</v>
      </c>
      <c r="C66" s="15">
        <v>479.0</v>
      </c>
      <c r="D66" s="16" t="s">
        <v>200</v>
      </c>
      <c r="E66" s="17">
        <v>210000.0</v>
      </c>
      <c r="F66" s="17">
        <v>120000.0</v>
      </c>
      <c r="G66" s="17">
        <v>90000.0</v>
      </c>
    </row>
    <row r="67" ht="15.75" customHeight="1">
      <c r="B67" s="14" t="s">
        <v>104</v>
      </c>
      <c r="C67" s="15">
        <v>451.0</v>
      </c>
      <c r="D67" s="16" t="s">
        <v>187</v>
      </c>
      <c r="E67" s="17">
        <v>227500.0</v>
      </c>
      <c r="F67" s="17">
        <v>130000.0</v>
      </c>
      <c r="G67" s="17">
        <v>97500.0</v>
      </c>
    </row>
    <row r="68" ht="15.75" customHeight="1">
      <c r="B68" s="14" t="s">
        <v>105</v>
      </c>
      <c r="C68" s="15">
        <v>479.0</v>
      </c>
      <c r="D68" s="16" t="s">
        <v>185</v>
      </c>
      <c r="E68" s="17">
        <v>210000.0</v>
      </c>
      <c r="F68" s="17">
        <v>120000.0</v>
      </c>
      <c r="G68" s="17">
        <v>90000.0</v>
      </c>
      <c r="I68" s="25"/>
    </row>
    <row r="69" ht="15.75" customHeight="1">
      <c r="B69" s="14" t="s">
        <v>110</v>
      </c>
      <c r="C69" s="15">
        <v>449.0</v>
      </c>
      <c r="D69" s="16" t="s">
        <v>201</v>
      </c>
      <c r="E69" s="17">
        <v>45500.0</v>
      </c>
      <c r="F69" s="17">
        <v>26000.0</v>
      </c>
      <c r="G69" s="17">
        <v>19500.0</v>
      </c>
    </row>
    <row r="70" ht="15.75" customHeight="1">
      <c r="B70" s="14" t="s">
        <v>116</v>
      </c>
      <c r="C70" s="15">
        <v>448.0</v>
      </c>
      <c r="D70" s="16" t="s">
        <v>190</v>
      </c>
      <c r="E70" s="17">
        <v>140000.0</v>
      </c>
      <c r="F70" s="17">
        <v>80000.0</v>
      </c>
      <c r="G70" s="17">
        <v>60000.0</v>
      </c>
    </row>
    <row r="71" ht="15.75" customHeight="1">
      <c r="B71" s="14" t="s">
        <v>202</v>
      </c>
      <c r="C71" s="15">
        <v>451.0</v>
      </c>
      <c r="D71" s="16" t="s">
        <v>187</v>
      </c>
      <c r="E71" s="17">
        <v>227500.0</v>
      </c>
      <c r="F71" s="17">
        <v>130000.0</v>
      </c>
      <c r="G71" s="17">
        <v>97500.0</v>
      </c>
    </row>
    <row r="72" ht="15.75" customHeight="1">
      <c r="B72" s="14" t="s">
        <v>203</v>
      </c>
      <c r="C72" s="15">
        <v>453.0</v>
      </c>
      <c r="D72" s="16" t="s">
        <v>204</v>
      </c>
      <c r="E72" s="17">
        <v>157500.0</v>
      </c>
      <c r="F72" s="17">
        <v>90000.0</v>
      </c>
      <c r="G72" s="17">
        <v>67500.0</v>
      </c>
    </row>
    <row r="73" ht="15.75" customHeight="1">
      <c r="B73" s="14" t="s">
        <v>205</v>
      </c>
      <c r="C73" s="15">
        <v>480.0</v>
      </c>
      <c r="D73" s="16" t="s">
        <v>175</v>
      </c>
      <c r="E73" s="17">
        <v>367500.0</v>
      </c>
      <c r="F73" s="17">
        <v>210000.0</v>
      </c>
      <c r="G73" s="17">
        <v>157500.0</v>
      </c>
    </row>
    <row r="74" ht="15.75" customHeight="1">
      <c r="B74" s="14" t="s">
        <v>123</v>
      </c>
      <c r="C74" s="15">
        <v>457.0</v>
      </c>
      <c r="D74" s="16" t="s">
        <v>206</v>
      </c>
      <c r="E74" s="17">
        <v>385000.0</v>
      </c>
      <c r="F74" s="17">
        <v>220000.0</v>
      </c>
      <c r="G74" s="17">
        <v>165000.0</v>
      </c>
    </row>
    <row r="75" ht="15.75" customHeight="1">
      <c r="B75" s="20" t="s">
        <v>19</v>
      </c>
      <c r="C75" s="2"/>
      <c r="D75" s="3"/>
      <c r="E75" s="33">
        <f t="shared" ref="E75:G75" si="4">SUM(E66:E74)</f>
        <v>1970500</v>
      </c>
      <c r="F75" s="21">
        <f t="shared" si="4"/>
        <v>1126000</v>
      </c>
      <c r="G75" s="34">
        <f t="shared" si="4"/>
        <v>844500</v>
      </c>
      <c r="H75" s="23" t="s">
        <v>20</v>
      </c>
    </row>
    <row r="76" ht="15.75" customHeight="1">
      <c r="B76" s="35" t="s">
        <v>207</v>
      </c>
      <c r="C76" s="2"/>
      <c r="D76" s="3"/>
      <c r="E76" s="36"/>
      <c r="F76" s="37">
        <v>-130000.0</v>
      </c>
      <c r="G76" s="43"/>
    </row>
    <row r="77" ht="15.75" customHeight="1">
      <c r="B77" s="20" t="s">
        <v>63</v>
      </c>
      <c r="C77" s="2"/>
      <c r="D77" s="3"/>
      <c r="E77" s="21"/>
      <c r="F77" s="39">
        <f>SUM(F75:F76)</f>
        <v>996000</v>
      </c>
      <c r="G77" s="43"/>
    </row>
    <row r="78" ht="15.75" customHeight="1">
      <c r="B78" s="10"/>
      <c r="C78" s="10"/>
      <c r="D78" s="10"/>
    </row>
    <row r="79" ht="15.75" customHeight="1">
      <c r="B79" s="13"/>
      <c r="C79" s="13"/>
      <c r="D79" s="13"/>
    </row>
    <row r="80" ht="15.75" customHeight="1">
      <c r="B80" s="1" t="s">
        <v>0</v>
      </c>
      <c r="C80" s="2"/>
      <c r="D80" s="3"/>
      <c r="E80" s="28"/>
      <c r="F80" s="28"/>
      <c r="G80" s="28"/>
    </row>
    <row r="81" ht="15.75" customHeight="1">
      <c r="B81" s="6" t="s">
        <v>174</v>
      </c>
      <c r="C81" s="2"/>
      <c r="D81" s="3"/>
      <c r="E81" s="7"/>
      <c r="F81" s="7"/>
      <c r="G81" s="7"/>
    </row>
    <row r="82" ht="15.0" customHeight="1">
      <c r="B82" s="8" t="s">
        <v>126</v>
      </c>
      <c r="C82" s="2"/>
      <c r="D82" s="3"/>
      <c r="E82" s="9"/>
      <c r="F82" s="9"/>
      <c r="G82" s="9"/>
    </row>
    <row r="83" ht="15.0" customHeight="1">
      <c r="B83" s="47" t="s">
        <v>3</v>
      </c>
      <c r="C83" s="47" t="s">
        <v>4</v>
      </c>
      <c r="D83" s="47" t="s">
        <v>5</v>
      </c>
      <c r="E83" s="47" t="s">
        <v>6</v>
      </c>
      <c r="F83" s="47" t="s">
        <v>7</v>
      </c>
      <c r="G83" s="48" t="s">
        <v>8</v>
      </c>
    </row>
    <row r="84" ht="15.75" customHeight="1">
      <c r="B84" s="14" t="s">
        <v>127</v>
      </c>
      <c r="C84" s="15">
        <v>451.0</v>
      </c>
      <c r="D84" s="16" t="s">
        <v>187</v>
      </c>
      <c r="E84" s="17">
        <v>227500.0</v>
      </c>
      <c r="F84" s="17">
        <v>130000.0</v>
      </c>
      <c r="G84" s="17">
        <v>97500.0</v>
      </c>
    </row>
    <row r="85" ht="15.75" customHeight="1">
      <c r="B85" s="14" t="s">
        <v>208</v>
      </c>
      <c r="C85" s="15">
        <v>448.0</v>
      </c>
      <c r="D85" s="16" t="s">
        <v>190</v>
      </c>
      <c r="E85" s="17">
        <v>140000.0</v>
      </c>
      <c r="F85" s="17">
        <v>80000.0</v>
      </c>
      <c r="G85" s="17">
        <v>60000.0</v>
      </c>
    </row>
    <row r="86" ht="15.75" customHeight="1">
      <c r="B86" s="14" t="s">
        <v>140</v>
      </c>
      <c r="C86" s="15"/>
      <c r="D86" s="16" t="s">
        <v>191</v>
      </c>
      <c r="E86" s="17">
        <v>192500.0</v>
      </c>
      <c r="F86" s="17">
        <v>110000.0</v>
      </c>
      <c r="G86" s="17">
        <v>82500.0</v>
      </c>
    </row>
    <row r="87" ht="15.75" customHeight="1">
      <c r="B87" s="14" t="s">
        <v>140</v>
      </c>
      <c r="C87" s="15">
        <v>465.0</v>
      </c>
      <c r="D87" s="16" t="s">
        <v>184</v>
      </c>
      <c r="E87" s="17">
        <v>192500.0</v>
      </c>
      <c r="F87" s="17">
        <v>110000.0</v>
      </c>
      <c r="G87" s="17">
        <v>82500.0</v>
      </c>
    </row>
    <row r="88" ht="15.75" customHeight="1">
      <c r="B88" s="14" t="s">
        <v>142</v>
      </c>
      <c r="C88" s="15">
        <v>479.0</v>
      </c>
      <c r="D88" s="16" t="s">
        <v>209</v>
      </c>
      <c r="E88" s="17">
        <v>210000.0</v>
      </c>
      <c r="F88" s="17">
        <v>-120000.0</v>
      </c>
      <c r="G88" s="17">
        <v>90000.0</v>
      </c>
    </row>
    <row r="89" ht="15.75" customHeight="1">
      <c r="B89" s="14" t="s">
        <v>143</v>
      </c>
      <c r="C89" s="15">
        <v>450.0</v>
      </c>
      <c r="D89" s="16" t="s">
        <v>188</v>
      </c>
      <c r="E89" s="17">
        <v>87500.0</v>
      </c>
      <c r="F89" s="17">
        <v>50000.0</v>
      </c>
      <c r="G89" s="17">
        <v>37500.0</v>
      </c>
    </row>
    <row r="90" ht="15.75" customHeight="1">
      <c r="B90" s="14" t="s">
        <v>151</v>
      </c>
      <c r="C90" s="15">
        <v>453.0</v>
      </c>
      <c r="D90" s="16" t="s">
        <v>204</v>
      </c>
      <c r="E90" s="17">
        <v>157500.0</v>
      </c>
      <c r="F90" s="17">
        <v>90000.0</v>
      </c>
      <c r="G90" s="17">
        <v>67500.0</v>
      </c>
    </row>
    <row r="91" ht="15.75" customHeight="1">
      <c r="B91" s="14" t="s">
        <v>151</v>
      </c>
      <c r="C91" s="15">
        <v>450.0</v>
      </c>
      <c r="D91" s="16" t="s">
        <v>188</v>
      </c>
      <c r="E91" s="17">
        <v>87500.0</v>
      </c>
      <c r="F91" s="17">
        <v>50000.0</v>
      </c>
      <c r="G91" s="17">
        <v>37500.0</v>
      </c>
    </row>
    <row r="92" ht="15.75" customHeight="1">
      <c r="B92" s="14" t="s">
        <v>210</v>
      </c>
      <c r="C92" s="15">
        <v>450.0</v>
      </c>
      <c r="D92" s="16" t="s">
        <v>188</v>
      </c>
      <c r="E92" s="17">
        <v>78750.0</v>
      </c>
      <c r="F92" s="17">
        <v>50000.0</v>
      </c>
      <c r="G92" s="17">
        <v>37500.0</v>
      </c>
    </row>
    <row r="93" ht="15.75" customHeight="1">
      <c r="B93" s="14" t="s">
        <v>154</v>
      </c>
      <c r="C93" s="15">
        <v>450.0</v>
      </c>
      <c r="D93" s="16" t="s">
        <v>188</v>
      </c>
      <c r="E93" s="17">
        <v>78750.0</v>
      </c>
      <c r="F93" s="17">
        <v>50000.0</v>
      </c>
      <c r="G93" s="17">
        <v>37500.0</v>
      </c>
    </row>
    <row r="94" ht="15.75" customHeight="1">
      <c r="B94" s="14" t="s">
        <v>154</v>
      </c>
      <c r="C94" s="15">
        <v>450.0</v>
      </c>
      <c r="D94" s="16" t="s">
        <v>188</v>
      </c>
      <c r="E94" s="17">
        <v>78750.0</v>
      </c>
      <c r="F94" s="17">
        <v>50000.0</v>
      </c>
      <c r="G94" s="17">
        <v>37500.0</v>
      </c>
    </row>
    <row r="95" ht="15.75" customHeight="1">
      <c r="B95" s="20" t="s">
        <v>19</v>
      </c>
      <c r="C95" s="2"/>
      <c r="D95" s="3"/>
      <c r="E95" s="33">
        <f>SUM(E84:E94)</f>
        <v>1531250</v>
      </c>
      <c r="F95" s="21">
        <v>890000.0</v>
      </c>
      <c r="G95" s="34">
        <f>SUM(G84:G94)</f>
        <v>667500</v>
      </c>
      <c r="H95" s="23" t="s">
        <v>20</v>
      </c>
    </row>
    <row r="96" ht="15.75" customHeight="1">
      <c r="B96" s="35" t="s">
        <v>62</v>
      </c>
      <c r="C96" s="2"/>
      <c r="D96" s="3"/>
      <c r="E96" s="36"/>
      <c r="F96" s="37">
        <v>-120000.0</v>
      </c>
      <c r="G96" s="43"/>
    </row>
    <row r="97" ht="15.75" customHeight="1">
      <c r="B97" s="20" t="s">
        <v>63</v>
      </c>
      <c r="C97" s="2"/>
      <c r="D97" s="3"/>
      <c r="E97" s="21"/>
      <c r="F97" s="39">
        <f>SUM(F95:F96)</f>
        <v>770000</v>
      </c>
      <c r="G97" s="43"/>
    </row>
    <row r="98" ht="15.75" customHeight="1">
      <c r="B98" s="10"/>
      <c r="C98" s="10"/>
      <c r="D98" s="26"/>
    </row>
    <row r="99" ht="15.75" customHeight="1"/>
    <row r="100" ht="15.75" customHeight="1">
      <c r="B100" s="1" t="s">
        <v>0</v>
      </c>
      <c r="C100" s="2"/>
      <c r="D100" s="3"/>
      <c r="E100" s="28"/>
      <c r="F100" s="28"/>
      <c r="G100" s="28"/>
    </row>
    <row r="101" ht="15.75" customHeight="1">
      <c r="B101" s="6" t="s">
        <v>174</v>
      </c>
      <c r="C101" s="2"/>
      <c r="D101" s="3"/>
      <c r="E101" s="7"/>
      <c r="F101" s="7"/>
      <c r="G101" s="7"/>
    </row>
    <row r="102" ht="15.75" customHeight="1">
      <c r="B102" s="8" t="s">
        <v>157</v>
      </c>
      <c r="C102" s="2"/>
      <c r="D102" s="3"/>
      <c r="E102" s="9"/>
      <c r="F102" s="9"/>
      <c r="G102" s="9"/>
    </row>
    <row r="103" ht="15.75" customHeight="1">
      <c r="B103" s="47" t="s">
        <v>3</v>
      </c>
      <c r="C103" s="47" t="s">
        <v>4</v>
      </c>
      <c r="D103" s="47" t="s">
        <v>5</v>
      </c>
      <c r="E103" s="47" t="s">
        <v>6</v>
      </c>
      <c r="F103" s="47" t="s">
        <v>7</v>
      </c>
      <c r="G103" s="48" t="s">
        <v>8</v>
      </c>
    </row>
    <row r="104" ht="15.75" customHeight="1">
      <c r="B104" s="14" t="s">
        <v>162</v>
      </c>
      <c r="C104" s="15">
        <v>449.0</v>
      </c>
      <c r="D104" s="16" t="s">
        <v>211</v>
      </c>
      <c r="E104" s="17">
        <v>45500.0</v>
      </c>
      <c r="F104" s="17">
        <v>26000.0</v>
      </c>
      <c r="G104" s="17">
        <v>19000.0</v>
      </c>
    </row>
    <row r="105" ht="15.75" customHeight="1">
      <c r="B105" s="14" t="s">
        <v>212</v>
      </c>
      <c r="C105" s="15">
        <v>448.0</v>
      </c>
      <c r="D105" s="16" t="s">
        <v>190</v>
      </c>
      <c r="E105" s="17">
        <v>140000.0</v>
      </c>
      <c r="F105" s="17">
        <v>80000.0</v>
      </c>
      <c r="G105" s="17">
        <v>60000.0</v>
      </c>
    </row>
    <row r="106" ht="15.75" customHeight="1">
      <c r="B106" s="14" t="s">
        <v>172</v>
      </c>
      <c r="C106" s="15">
        <v>456.0</v>
      </c>
      <c r="D106" s="16" t="s">
        <v>213</v>
      </c>
      <c r="E106" s="17">
        <v>192500.0</v>
      </c>
      <c r="F106" s="17">
        <v>110000.0</v>
      </c>
      <c r="G106" s="17">
        <v>82500.0</v>
      </c>
    </row>
    <row r="107" ht="15.75" customHeight="1">
      <c r="B107" s="20" t="s">
        <v>19</v>
      </c>
      <c r="C107" s="2"/>
      <c r="D107" s="3"/>
      <c r="E107" s="33">
        <f t="shared" ref="E107:G107" si="5">SUM(E104:E106)</f>
        <v>378000</v>
      </c>
      <c r="F107" s="21">
        <f t="shared" si="5"/>
        <v>216000</v>
      </c>
      <c r="G107" s="34">
        <f t="shared" si="5"/>
        <v>161500</v>
      </c>
      <c r="H107" s="23" t="s">
        <v>20</v>
      </c>
    </row>
    <row r="108" ht="15.75" customHeight="1">
      <c r="B108" s="20" t="s">
        <v>63</v>
      </c>
      <c r="C108" s="2"/>
      <c r="D108" s="3"/>
      <c r="E108" s="21"/>
      <c r="F108" s="39">
        <f>SUM(F107)</f>
        <v>216000</v>
      </c>
      <c r="G108" s="43"/>
    </row>
    <row r="109" ht="15.75" customHeight="1">
      <c r="B109" s="5"/>
      <c r="C109" s="5"/>
      <c r="D109" s="5"/>
    </row>
    <row r="110" ht="15.75" customHeight="1">
      <c r="B110" s="5"/>
      <c r="C110" s="5"/>
      <c r="D110" s="5"/>
    </row>
    <row r="111" ht="15.75" customHeight="1">
      <c r="B111" s="10"/>
      <c r="C111" s="10"/>
      <c r="D111" s="10"/>
    </row>
    <row r="112" ht="15.75" customHeight="1">
      <c r="B112" s="13"/>
      <c r="C112" s="13"/>
      <c r="D112" s="13"/>
    </row>
    <row r="113" ht="15.75" customHeight="1">
      <c r="B113" s="19"/>
      <c r="D113" s="27"/>
    </row>
    <row r="114" ht="15.75" customHeight="1">
      <c r="B114" s="19"/>
      <c r="D114" s="27"/>
    </row>
    <row r="115" ht="15.75" customHeight="1">
      <c r="B115" s="19"/>
      <c r="D115" s="27"/>
    </row>
    <row r="116" ht="15.75" customHeight="1">
      <c r="B116" s="10"/>
      <c r="C116" s="10"/>
      <c r="D116" s="26"/>
    </row>
    <row r="117" ht="15.75" customHeight="1">
      <c r="B117" s="10"/>
      <c r="C117" s="10"/>
      <c r="D117" s="26"/>
    </row>
    <row r="118" ht="15.75" customHeight="1"/>
    <row r="119" ht="15.75" customHeight="1">
      <c r="B119" s="5"/>
      <c r="C119" s="5"/>
      <c r="D119" s="5"/>
    </row>
    <row r="120" ht="15.75" customHeight="1">
      <c r="B120" s="5"/>
      <c r="C120" s="5"/>
      <c r="D120" s="5"/>
    </row>
    <row r="121" ht="15.75" customHeight="1">
      <c r="B121" s="10"/>
      <c r="C121" s="10"/>
      <c r="D121" s="10"/>
    </row>
    <row r="122" ht="15.75" customHeight="1">
      <c r="B122" s="13"/>
      <c r="C122" s="13"/>
      <c r="D122" s="13"/>
    </row>
    <row r="123" ht="15.75" customHeight="1">
      <c r="B123" s="19"/>
      <c r="D123" s="27"/>
    </row>
    <row r="124" ht="15.75" customHeight="1">
      <c r="B124" s="19"/>
      <c r="D124" s="27"/>
    </row>
    <row r="125" ht="15.75" customHeight="1">
      <c r="B125" s="19"/>
      <c r="D125" s="27"/>
    </row>
    <row r="126" ht="15.75" customHeight="1">
      <c r="B126" s="19"/>
      <c r="D126" s="27"/>
    </row>
    <row r="127" ht="15.75" customHeight="1">
      <c r="B127" s="19"/>
      <c r="D127" s="27"/>
    </row>
    <row r="128" ht="15.75" customHeight="1">
      <c r="B128" s="19"/>
      <c r="D128" s="27"/>
    </row>
    <row r="129" ht="15.75" customHeight="1">
      <c r="B129" s="19"/>
      <c r="D129" s="27"/>
    </row>
    <row r="130" ht="15.75" customHeight="1">
      <c r="B130" s="10"/>
      <c r="C130" s="10"/>
      <c r="D130" s="26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50">
    <mergeCell ref="B63:D63"/>
    <mergeCell ref="B64:D64"/>
    <mergeCell ref="B75:D75"/>
    <mergeCell ref="B76:D76"/>
    <mergeCell ref="B77:D77"/>
    <mergeCell ref="B80:D80"/>
    <mergeCell ref="E80:E82"/>
    <mergeCell ref="B107:D107"/>
    <mergeCell ref="B108:D108"/>
    <mergeCell ref="B81:D81"/>
    <mergeCell ref="B82:D82"/>
    <mergeCell ref="B95:D95"/>
    <mergeCell ref="B96:D96"/>
    <mergeCell ref="B97:D97"/>
    <mergeCell ref="B100:D100"/>
    <mergeCell ref="E100:E102"/>
    <mergeCell ref="B2:D2"/>
    <mergeCell ref="E2:E4"/>
    <mergeCell ref="F2:F4"/>
    <mergeCell ref="G2:G4"/>
    <mergeCell ref="B3:D3"/>
    <mergeCell ref="B4:D4"/>
    <mergeCell ref="B12:D12"/>
    <mergeCell ref="B13:D13"/>
    <mergeCell ref="B16:D16"/>
    <mergeCell ref="E16:E18"/>
    <mergeCell ref="F16:F18"/>
    <mergeCell ref="G16:G18"/>
    <mergeCell ref="B17:D17"/>
    <mergeCell ref="B18:D18"/>
    <mergeCell ref="B32:D32"/>
    <mergeCell ref="B33:D33"/>
    <mergeCell ref="B36:D36"/>
    <mergeCell ref="E36:E38"/>
    <mergeCell ref="F36:F38"/>
    <mergeCell ref="G36:G38"/>
    <mergeCell ref="B37:D37"/>
    <mergeCell ref="B38:D38"/>
    <mergeCell ref="B58:D58"/>
    <mergeCell ref="B59:D59"/>
    <mergeCell ref="B62:D62"/>
    <mergeCell ref="E62:E64"/>
    <mergeCell ref="F62:F64"/>
    <mergeCell ref="G62:G64"/>
    <mergeCell ref="F80:F82"/>
    <mergeCell ref="G80:G82"/>
    <mergeCell ref="F100:F102"/>
    <mergeCell ref="G100:G102"/>
    <mergeCell ref="B101:D101"/>
    <mergeCell ref="B102:D10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6.29"/>
    <col customWidth="1" min="3" max="3" width="7.29"/>
    <col customWidth="1" min="4" max="4" width="21.14"/>
    <col customWidth="1" min="5" max="5" width="14.71"/>
    <col customWidth="1" min="6" max="6" width="21.0"/>
    <col customWidth="1" min="7" max="7" width="20.29"/>
    <col customWidth="1" min="8" max="8" width="18.71"/>
    <col customWidth="1" min="9" max="10" width="10.71"/>
    <col customWidth="1" min="11" max="11" width="15.43"/>
    <col customWidth="1" min="12" max="12" width="15.86"/>
    <col customWidth="1" min="13" max="26" width="10.71"/>
  </cols>
  <sheetData>
    <row r="2">
      <c r="B2" s="1" t="s">
        <v>0</v>
      </c>
      <c r="C2" s="2"/>
      <c r="D2" s="3"/>
      <c r="E2" s="4"/>
      <c r="F2" s="4"/>
      <c r="G2" s="4"/>
      <c r="H2" s="5"/>
      <c r="J2" s="5"/>
      <c r="K2" s="5"/>
      <c r="L2" s="5"/>
    </row>
    <row r="3">
      <c r="B3" s="6" t="s">
        <v>214</v>
      </c>
      <c r="C3" s="2"/>
      <c r="D3" s="3"/>
      <c r="E3" s="7"/>
      <c r="F3" s="7"/>
      <c r="G3" s="7"/>
      <c r="H3" s="5"/>
      <c r="J3" s="5"/>
      <c r="K3" s="5"/>
      <c r="L3" s="5"/>
    </row>
    <row r="4">
      <c r="B4" s="8" t="s">
        <v>2</v>
      </c>
      <c r="C4" s="2"/>
      <c r="D4" s="3"/>
      <c r="E4" s="9"/>
      <c r="F4" s="9"/>
      <c r="G4" s="9"/>
      <c r="H4" s="10"/>
      <c r="J4" s="10"/>
      <c r="K4" s="10"/>
      <c r="L4" s="10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  <c r="H5" s="13"/>
      <c r="J5" s="13"/>
      <c r="K5" s="13"/>
      <c r="L5" s="13"/>
    </row>
    <row r="6">
      <c r="B6" s="14" t="s">
        <v>182</v>
      </c>
      <c r="C6" s="15">
        <v>293.0</v>
      </c>
      <c r="D6" s="16" t="s">
        <v>215</v>
      </c>
      <c r="E6" s="30">
        <v>280000.0</v>
      </c>
      <c r="F6" s="17">
        <v>160000.0</v>
      </c>
      <c r="G6" s="30">
        <v>120000.0</v>
      </c>
      <c r="H6" s="27"/>
      <c r="J6" s="19"/>
      <c r="L6" s="27"/>
    </row>
    <row r="7">
      <c r="B7" s="20" t="s">
        <v>216</v>
      </c>
      <c r="C7" s="2"/>
      <c r="D7" s="3"/>
      <c r="E7" s="21">
        <f t="shared" ref="E7:G7" si="1">SUM(E6)</f>
        <v>280000</v>
      </c>
      <c r="F7" s="21">
        <f t="shared" si="1"/>
        <v>160000</v>
      </c>
      <c r="G7" s="53">
        <f t="shared" si="1"/>
        <v>120000</v>
      </c>
      <c r="H7" s="23" t="s">
        <v>20</v>
      </c>
      <c r="J7" s="19"/>
      <c r="L7" s="27"/>
    </row>
    <row r="8" ht="28.5" customHeight="1">
      <c r="B8" s="54" t="s">
        <v>217</v>
      </c>
      <c r="C8" s="2"/>
      <c r="D8" s="3"/>
      <c r="E8" s="17"/>
      <c r="F8" s="55">
        <f>SUM(F7)</f>
        <v>160000</v>
      </c>
      <c r="G8" s="14"/>
      <c r="H8" s="27"/>
      <c r="J8" s="10"/>
      <c r="K8" s="10"/>
      <c r="L8" s="26"/>
    </row>
    <row r="9">
      <c r="B9" s="20" t="s">
        <v>218</v>
      </c>
      <c r="C9" s="2"/>
      <c r="D9" s="3"/>
      <c r="E9" s="21"/>
      <c r="F9" s="39">
        <f>SUM(F7:F8)</f>
        <v>320000</v>
      </c>
      <c r="G9" s="56"/>
      <c r="H9" s="23"/>
    </row>
    <row r="10">
      <c r="B10" s="10"/>
      <c r="C10" s="10"/>
      <c r="D10" s="26"/>
      <c r="G10" s="13"/>
      <c r="H10" s="13"/>
    </row>
    <row r="11">
      <c r="B11" s="19"/>
      <c r="G11" s="19"/>
      <c r="H11" s="27"/>
    </row>
    <row r="12">
      <c r="B12" s="1" t="s">
        <v>0</v>
      </c>
      <c r="C12" s="2"/>
      <c r="D12" s="3"/>
      <c r="E12" s="4"/>
      <c r="F12" s="4"/>
      <c r="G12" s="4"/>
      <c r="H12" s="27"/>
    </row>
    <row r="13">
      <c r="B13" s="6" t="s">
        <v>214</v>
      </c>
      <c r="C13" s="2"/>
      <c r="D13" s="3"/>
      <c r="E13" s="7"/>
      <c r="F13" s="7"/>
      <c r="G13" s="7"/>
      <c r="H13" s="27"/>
    </row>
    <row r="14">
      <c r="B14" s="8" t="s">
        <v>22</v>
      </c>
      <c r="C14" s="2"/>
      <c r="D14" s="3"/>
      <c r="E14" s="9"/>
      <c r="F14" s="9"/>
      <c r="G14" s="9"/>
      <c r="H14" s="50"/>
    </row>
    <row r="15">
      <c r="B15" s="11" t="s">
        <v>3</v>
      </c>
      <c r="C15" s="11" t="s">
        <v>4</v>
      </c>
      <c r="D15" s="11" t="s">
        <v>5</v>
      </c>
      <c r="E15" s="11" t="s">
        <v>6</v>
      </c>
      <c r="F15" s="11" t="s">
        <v>7</v>
      </c>
      <c r="G15" s="12" t="s">
        <v>8</v>
      </c>
      <c r="H15" s="50"/>
    </row>
    <row r="16">
      <c r="B16" s="14" t="s">
        <v>27</v>
      </c>
      <c r="C16" s="15">
        <v>321.0</v>
      </c>
      <c r="D16" s="16" t="s">
        <v>219</v>
      </c>
      <c r="E16" s="30">
        <v>173250.0</v>
      </c>
      <c r="F16" s="17">
        <v>110000.0</v>
      </c>
      <c r="G16" s="30">
        <v>63250.0</v>
      </c>
      <c r="H16" s="50"/>
    </row>
    <row r="17">
      <c r="B17" s="14" t="s">
        <v>29</v>
      </c>
      <c r="C17" s="15">
        <v>293.0</v>
      </c>
      <c r="D17" s="16" t="s">
        <v>220</v>
      </c>
      <c r="E17" s="30">
        <v>280000.0</v>
      </c>
      <c r="F17" s="17">
        <v>160000.0</v>
      </c>
      <c r="G17" s="30">
        <v>120000.0</v>
      </c>
      <c r="H17" s="26"/>
    </row>
    <row r="18">
      <c r="B18" s="20" t="s">
        <v>19</v>
      </c>
      <c r="C18" s="2"/>
      <c r="D18" s="3"/>
      <c r="E18" s="33">
        <f t="shared" ref="E18:G18" si="2">SUM(E16:E17)</f>
        <v>453250</v>
      </c>
      <c r="F18" s="21">
        <f t="shared" si="2"/>
        <v>270000</v>
      </c>
      <c r="G18" s="49">
        <f t="shared" si="2"/>
        <v>183250</v>
      </c>
      <c r="H18" s="23" t="s">
        <v>20</v>
      </c>
    </row>
    <row r="19">
      <c r="B19" s="20" t="s">
        <v>218</v>
      </c>
      <c r="C19" s="2"/>
      <c r="D19" s="3"/>
      <c r="E19" s="33"/>
      <c r="F19" s="21">
        <f>SUM(F18)</f>
        <v>270000</v>
      </c>
      <c r="G19" s="33"/>
      <c r="H19" s="5"/>
    </row>
    <row r="20">
      <c r="B20" s="19"/>
      <c r="D20" s="27"/>
      <c r="G20" s="5"/>
      <c r="H20" s="5"/>
    </row>
    <row r="21">
      <c r="B21" s="19"/>
      <c r="D21" s="27"/>
      <c r="G21" s="5"/>
      <c r="H21" s="5"/>
    </row>
    <row r="22" ht="15.75" customHeight="1">
      <c r="B22" s="1" t="s">
        <v>0</v>
      </c>
      <c r="C22" s="2"/>
      <c r="D22" s="3"/>
      <c r="E22" s="4"/>
      <c r="F22" s="4"/>
      <c r="G22" s="4"/>
      <c r="H22" s="10"/>
    </row>
    <row r="23" ht="15.75" customHeight="1">
      <c r="B23" s="6" t="s">
        <v>214</v>
      </c>
      <c r="C23" s="2"/>
      <c r="D23" s="3"/>
      <c r="E23" s="7"/>
      <c r="F23" s="7"/>
      <c r="G23" s="7"/>
      <c r="H23" s="13"/>
    </row>
    <row r="24" ht="15.75" customHeight="1">
      <c r="B24" s="8" t="s">
        <v>64</v>
      </c>
      <c r="C24" s="2"/>
      <c r="D24" s="3"/>
      <c r="E24" s="9"/>
      <c r="F24" s="9"/>
      <c r="G24" s="9"/>
      <c r="H24" s="27"/>
    </row>
    <row r="25" ht="15.75" customHeight="1">
      <c r="B25" s="11" t="s">
        <v>3</v>
      </c>
      <c r="C25" s="11" t="s">
        <v>4</v>
      </c>
      <c r="D25" s="11" t="s">
        <v>5</v>
      </c>
      <c r="E25" s="11" t="s">
        <v>6</v>
      </c>
      <c r="F25" s="11" t="s">
        <v>7</v>
      </c>
      <c r="G25" s="12" t="s">
        <v>8</v>
      </c>
      <c r="H25" s="27"/>
    </row>
    <row r="26" ht="15.75" customHeight="1">
      <c r="B26" s="14" t="s">
        <v>72</v>
      </c>
      <c r="C26" s="15">
        <v>293.0</v>
      </c>
      <c r="D26" s="16" t="s">
        <v>221</v>
      </c>
      <c r="E26" s="30">
        <v>280000.0</v>
      </c>
      <c r="F26" s="17">
        <v>160000.0</v>
      </c>
      <c r="G26" s="30">
        <v>120000.0</v>
      </c>
      <c r="H26" s="27"/>
    </row>
    <row r="27" ht="15.75" customHeight="1">
      <c r="B27" s="14" t="s">
        <v>78</v>
      </c>
      <c r="C27" s="15">
        <v>293.0</v>
      </c>
      <c r="D27" s="16" t="s">
        <v>221</v>
      </c>
      <c r="E27" s="30">
        <v>280000.0</v>
      </c>
      <c r="F27" s="17">
        <v>160000.0</v>
      </c>
      <c r="G27" s="30">
        <v>120000.0</v>
      </c>
      <c r="H27" s="27"/>
    </row>
    <row r="28" ht="15.75" customHeight="1">
      <c r="B28" s="14" t="s">
        <v>78</v>
      </c>
      <c r="C28" s="15">
        <v>293.0</v>
      </c>
      <c r="D28" s="16" t="s">
        <v>221</v>
      </c>
      <c r="E28" s="30">
        <v>280000.0</v>
      </c>
      <c r="F28" s="17">
        <v>160000.0</v>
      </c>
      <c r="G28" s="30">
        <v>120000.0</v>
      </c>
      <c r="H28" s="50"/>
    </row>
    <row r="29" ht="15.75" customHeight="1">
      <c r="B29" s="14" t="s">
        <v>83</v>
      </c>
      <c r="C29" s="15">
        <v>311.0</v>
      </c>
      <c r="D29" s="16" t="s">
        <v>222</v>
      </c>
      <c r="E29" s="30">
        <v>236250.0</v>
      </c>
      <c r="F29" s="17">
        <v>135000.0</v>
      </c>
      <c r="G29" s="30">
        <v>101250.0</v>
      </c>
      <c r="H29" s="50"/>
    </row>
    <row r="30" ht="15.75" customHeight="1">
      <c r="B30" s="14" t="s">
        <v>86</v>
      </c>
      <c r="C30" s="15">
        <v>321.0</v>
      </c>
      <c r="D30" s="16" t="s">
        <v>223</v>
      </c>
      <c r="E30" s="30">
        <v>192500.0</v>
      </c>
      <c r="F30" s="17">
        <v>110000.0</v>
      </c>
      <c r="G30" s="30">
        <v>82500.0</v>
      </c>
      <c r="H30" s="26"/>
    </row>
    <row r="31" ht="15.75" customHeight="1">
      <c r="B31" s="14" t="s">
        <v>86</v>
      </c>
      <c r="C31" s="15">
        <v>298.0</v>
      </c>
      <c r="D31" s="16" t="s">
        <v>224</v>
      </c>
      <c r="E31" s="30">
        <v>113750.0</v>
      </c>
      <c r="F31" s="17">
        <v>70000.0</v>
      </c>
      <c r="G31" s="30">
        <v>43750.0</v>
      </c>
    </row>
    <row r="32" ht="15.75" customHeight="1">
      <c r="B32" s="14" t="s">
        <v>87</v>
      </c>
      <c r="C32" s="15">
        <v>321.0</v>
      </c>
      <c r="D32" s="16" t="s">
        <v>223</v>
      </c>
      <c r="E32" s="30">
        <v>192500.0</v>
      </c>
      <c r="F32" s="17">
        <v>110000.0</v>
      </c>
      <c r="G32" s="30">
        <v>82500.0</v>
      </c>
    </row>
    <row r="33" ht="15.75" customHeight="1">
      <c r="B33" s="14" t="s">
        <v>89</v>
      </c>
      <c r="C33" s="15">
        <v>298.0</v>
      </c>
      <c r="D33" s="16" t="s">
        <v>224</v>
      </c>
      <c r="E33" s="30">
        <v>122500.0</v>
      </c>
      <c r="F33" s="17">
        <v>70000.0</v>
      </c>
      <c r="G33" s="30">
        <v>52500.0</v>
      </c>
    </row>
    <row r="34" ht="15.75" customHeight="1">
      <c r="B34" s="14" t="s">
        <v>89</v>
      </c>
      <c r="C34" s="15">
        <v>298.0</v>
      </c>
      <c r="D34" s="16" t="s">
        <v>224</v>
      </c>
      <c r="E34" s="30">
        <v>122500.0</v>
      </c>
      <c r="F34" s="17">
        <v>70000.0</v>
      </c>
      <c r="G34" s="30">
        <v>52500.0</v>
      </c>
    </row>
    <row r="35" ht="15.75" customHeight="1">
      <c r="B35" s="14" t="s">
        <v>91</v>
      </c>
      <c r="C35" s="15">
        <v>292.0</v>
      </c>
      <c r="D35" s="16" t="s">
        <v>225</v>
      </c>
      <c r="E35" s="30">
        <v>218750.0</v>
      </c>
      <c r="F35" s="17">
        <v>125000.0</v>
      </c>
      <c r="G35" s="30">
        <v>93750.0</v>
      </c>
    </row>
    <row r="36" ht="15.75" customHeight="1">
      <c r="B36" s="14" t="s">
        <v>91</v>
      </c>
      <c r="C36" s="15">
        <v>298.0</v>
      </c>
      <c r="D36" s="16" t="s">
        <v>226</v>
      </c>
      <c r="E36" s="30">
        <v>122500.0</v>
      </c>
      <c r="F36" s="17">
        <v>70000.0</v>
      </c>
      <c r="G36" s="30">
        <v>52500.0</v>
      </c>
    </row>
    <row r="37" ht="15.75" customHeight="1">
      <c r="B37" s="14" t="s">
        <v>94</v>
      </c>
      <c r="C37" s="15">
        <v>293.0</v>
      </c>
      <c r="D37" s="16" t="s">
        <v>221</v>
      </c>
      <c r="E37" s="30">
        <v>280000.0</v>
      </c>
      <c r="F37" s="17">
        <v>160000.0</v>
      </c>
      <c r="G37" s="30">
        <v>120000.0</v>
      </c>
    </row>
    <row r="38" ht="15.75" customHeight="1">
      <c r="B38" s="14" t="s">
        <v>227</v>
      </c>
      <c r="C38" s="15">
        <v>298.0</v>
      </c>
      <c r="D38" s="16" t="s">
        <v>226</v>
      </c>
      <c r="E38" s="30">
        <v>122500.0</v>
      </c>
      <c r="F38" s="17">
        <v>70000.0</v>
      </c>
      <c r="G38" s="30">
        <v>52500.0</v>
      </c>
    </row>
    <row r="39" ht="15.75" customHeight="1">
      <c r="B39" s="14" t="s">
        <v>227</v>
      </c>
      <c r="C39" s="15">
        <v>299.0</v>
      </c>
      <c r="D39" s="16" t="s">
        <v>228</v>
      </c>
      <c r="E39" s="30">
        <v>152250.0</v>
      </c>
      <c r="F39" s="17">
        <v>87000.0</v>
      </c>
      <c r="G39" s="30">
        <v>65250.0</v>
      </c>
    </row>
    <row r="40" ht="15.75" customHeight="1">
      <c r="B40" s="14" t="s">
        <v>227</v>
      </c>
      <c r="C40" s="15">
        <v>298.0</v>
      </c>
      <c r="D40" s="16" t="s">
        <v>226</v>
      </c>
      <c r="E40" s="30">
        <v>122500.0</v>
      </c>
      <c r="F40" s="17">
        <v>70000.0</v>
      </c>
      <c r="G40" s="30">
        <v>52500.0</v>
      </c>
    </row>
    <row r="41" ht="15.75" customHeight="1">
      <c r="B41" s="20" t="s">
        <v>216</v>
      </c>
      <c r="C41" s="2"/>
      <c r="D41" s="3"/>
      <c r="E41" s="33">
        <f t="shared" ref="E41:G41" si="3">SUM(E26:E40)</f>
        <v>2838500</v>
      </c>
      <c r="F41" s="21">
        <f t="shared" si="3"/>
        <v>1627000</v>
      </c>
      <c r="G41" s="49">
        <f t="shared" si="3"/>
        <v>1211500</v>
      </c>
      <c r="H41" s="23" t="s">
        <v>20</v>
      </c>
    </row>
    <row r="42" ht="15.75" customHeight="1">
      <c r="B42" s="20" t="s">
        <v>218</v>
      </c>
      <c r="C42" s="2"/>
      <c r="D42" s="3"/>
      <c r="E42" s="33"/>
      <c r="F42" s="21">
        <f>SUM(F41)</f>
        <v>1627000</v>
      </c>
      <c r="G42" s="33"/>
    </row>
    <row r="43" ht="15.75" customHeight="1">
      <c r="B43" s="10"/>
      <c r="C43" s="10"/>
      <c r="D43" s="26"/>
    </row>
    <row r="44" ht="15.75" customHeight="1">
      <c r="B44" s="19"/>
      <c r="D44" s="27"/>
      <c r="H44" s="5"/>
      <c r="I44" s="5"/>
    </row>
    <row r="45" ht="15.75" customHeight="1">
      <c r="B45" s="1" t="s">
        <v>0</v>
      </c>
      <c r="C45" s="2"/>
      <c r="D45" s="3"/>
      <c r="E45" s="28"/>
      <c r="F45" s="28"/>
      <c r="G45" s="28"/>
      <c r="H45" s="5"/>
      <c r="I45" s="5"/>
    </row>
    <row r="46" ht="15.75" customHeight="1">
      <c r="B46" s="6" t="s">
        <v>214</v>
      </c>
      <c r="C46" s="2"/>
      <c r="D46" s="3"/>
      <c r="E46" s="7"/>
      <c r="F46" s="7"/>
      <c r="G46" s="7"/>
      <c r="H46" s="10"/>
      <c r="I46" s="10"/>
    </row>
    <row r="47" ht="15.75" customHeight="1">
      <c r="B47" s="8" t="s">
        <v>101</v>
      </c>
      <c r="C47" s="2"/>
      <c r="D47" s="3"/>
      <c r="E47" s="9"/>
      <c r="F47" s="9"/>
      <c r="G47" s="9"/>
      <c r="H47" s="13"/>
      <c r="I47" s="13"/>
    </row>
    <row r="48" ht="15.75" customHeight="1">
      <c r="B48" s="47" t="s">
        <v>3</v>
      </c>
      <c r="C48" s="47" t="s">
        <v>4</v>
      </c>
      <c r="D48" s="47" t="s">
        <v>5</v>
      </c>
      <c r="E48" s="47" t="s">
        <v>6</v>
      </c>
      <c r="F48" s="47" t="s">
        <v>7</v>
      </c>
      <c r="G48" s="48" t="s">
        <v>8</v>
      </c>
      <c r="I48" s="27"/>
    </row>
    <row r="49" ht="15.75" customHeight="1">
      <c r="B49" s="14" t="s">
        <v>114</v>
      </c>
      <c r="C49" s="15">
        <v>311.0</v>
      </c>
      <c r="D49" s="16" t="s">
        <v>222</v>
      </c>
      <c r="E49" s="30">
        <v>236250.0</v>
      </c>
      <c r="F49" s="17">
        <v>135000.0</v>
      </c>
      <c r="G49" s="30">
        <v>145000.0</v>
      </c>
      <c r="H49" s="19"/>
      <c r="I49" s="27"/>
    </row>
    <row r="50" ht="15.75" customHeight="1">
      <c r="B50" s="14" t="s">
        <v>202</v>
      </c>
      <c r="C50" s="15">
        <v>293.0</v>
      </c>
      <c r="D50" s="16" t="s">
        <v>220</v>
      </c>
      <c r="E50" s="30">
        <v>280000.0</v>
      </c>
      <c r="F50" s="17">
        <v>160000.0</v>
      </c>
      <c r="G50" s="30">
        <v>120000.0</v>
      </c>
      <c r="H50" s="19"/>
      <c r="I50" s="27"/>
    </row>
    <row r="51" ht="15.75" customHeight="1">
      <c r="B51" s="14" t="s">
        <v>205</v>
      </c>
      <c r="C51" s="15">
        <v>298.0</v>
      </c>
      <c r="D51" s="16" t="s">
        <v>224</v>
      </c>
      <c r="E51" s="30">
        <v>122500.0</v>
      </c>
      <c r="F51" s="17">
        <v>70000.0</v>
      </c>
      <c r="G51" s="30">
        <v>52500.0</v>
      </c>
      <c r="H51" s="19"/>
      <c r="I51" s="27"/>
    </row>
    <row r="52" ht="15.75" customHeight="1">
      <c r="B52" s="14" t="s">
        <v>125</v>
      </c>
      <c r="C52" s="15">
        <v>291.0</v>
      </c>
      <c r="D52" s="16" t="s">
        <v>223</v>
      </c>
      <c r="E52" s="30">
        <v>180250.0</v>
      </c>
      <c r="F52" s="17">
        <v>103000.0</v>
      </c>
      <c r="G52" s="30">
        <v>77250.0</v>
      </c>
      <c r="H52" s="5"/>
      <c r="I52" s="26"/>
    </row>
    <row r="53" ht="15.75" customHeight="1">
      <c r="B53" s="20" t="s">
        <v>19</v>
      </c>
      <c r="C53" s="2"/>
      <c r="D53" s="3"/>
      <c r="E53" s="33">
        <f t="shared" ref="E53:G53" si="4">SUM(E49:E52)</f>
        <v>819000</v>
      </c>
      <c r="F53" s="21">
        <f t="shared" si="4"/>
        <v>468000</v>
      </c>
      <c r="G53" s="49">
        <f t="shared" si="4"/>
        <v>394750</v>
      </c>
      <c r="H53" s="23" t="s">
        <v>20</v>
      </c>
    </row>
    <row r="54" ht="15.75" customHeight="1">
      <c r="B54" s="20" t="s">
        <v>218</v>
      </c>
      <c r="C54" s="2"/>
      <c r="D54" s="3"/>
      <c r="E54" s="33"/>
      <c r="F54" s="21">
        <f>SUM(F53)</f>
        <v>468000</v>
      </c>
      <c r="G54" s="33"/>
      <c r="H54" s="5"/>
      <c r="I54" s="5"/>
    </row>
    <row r="55" ht="15.75" customHeight="1">
      <c r="B55" s="19"/>
      <c r="D55" s="27"/>
      <c r="H55" s="5"/>
      <c r="I55" s="5"/>
    </row>
    <row r="56" ht="15.75" customHeight="1">
      <c r="B56" s="19"/>
      <c r="D56" s="27"/>
      <c r="H56" s="5"/>
      <c r="I56" s="5"/>
    </row>
    <row r="57" ht="15.75" customHeight="1">
      <c r="B57" s="1" t="s">
        <v>0</v>
      </c>
      <c r="C57" s="2"/>
      <c r="D57" s="3"/>
      <c r="E57" s="28"/>
      <c r="F57" s="28"/>
      <c r="G57" s="28"/>
      <c r="H57" s="10"/>
      <c r="I57" s="10"/>
    </row>
    <row r="58" ht="15.75" customHeight="1">
      <c r="B58" s="6" t="s">
        <v>214</v>
      </c>
      <c r="C58" s="2"/>
      <c r="D58" s="3"/>
      <c r="E58" s="7"/>
      <c r="F58" s="7"/>
      <c r="G58" s="7"/>
      <c r="H58" s="13"/>
      <c r="I58" s="13"/>
    </row>
    <row r="59" ht="15.75" customHeight="1">
      <c r="B59" s="8" t="s">
        <v>126</v>
      </c>
      <c r="C59" s="2"/>
      <c r="D59" s="3"/>
      <c r="E59" s="9"/>
      <c r="F59" s="9"/>
      <c r="G59" s="9"/>
      <c r="I59" s="27"/>
    </row>
    <row r="60" ht="15.75" customHeight="1">
      <c r="B60" s="47" t="s">
        <v>3</v>
      </c>
      <c r="C60" s="47" t="s">
        <v>4</v>
      </c>
      <c r="D60" s="47" t="s">
        <v>5</v>
      </c>
      <c r="E60" s="47" t="s">
        <v>6</v>
      </c>
      <c r="F60" s="47" t="s">
        <v>7</v>
      </c>
      <c r="G60" s="48" t="s">
        <v>8</v>
      </c>
      <c r="H60" s="19"/>
      <c r="I60" s="27"/>
    </row>
    <row r="61" ht="15.75" customHeight="1">
      <c r="B61" s="14" t="s">
        <v>127</v>
      </c>
      <c r="C61" s="15">
        <v>292.0</v>
      </c>
      <c r="D61" s="16" t="s">
        <v>229</v>
      </c>
      <c r="E61" s="30">
        <v>218750.0</v>
      </c>
      <c r="F61" s="17">
        <v>125000.0</v>
      </c>
      <c r="G61" s="30">
        <v>93750.0</v>
      </c>
      <c r="H61" s="5"/>
      <c r="I61" s="26"/>
    </row>
    <row r="62" ht="15.75" customHeight="1">
      <c r="B62" s="14" t="s">
        <v>127</v>
      </c>
      <c r="C62" s="15">
        <v>320.0</v>
      </c>
      <c r="D62" s="16" t="s">
        <v>230</v>
      </c>
      <c r="E62" s="30">
        <v>157500.0</v>
      </c>
      <c r="F62" s="17">
        <v>90000.0</v>
      </c>
      <c r="G62" s="30">
        <v>67500.0</v>
      </c>
    </row>
    <row r="63" ht="15.75" customHeight="1">
      <c r="B63" s="14" t="s">
        <v>129</v>
      </c>
      <c r="C63" s="15">
        <v>292.0</v>
      </c>
      <c r="D63" s="16" t="s">
        <v>231</v>
      </c>
      <c r="E63" s="30">
        <v>218750.0</v>
      </c>
      <c r="F63" s="17">
        <v>125000.0</v>
      </c>
      <c r="G63" s="30">
        <v>93750.0</v>
      </c>
      <c r="H63" s="5"/>
      <c r="I63" s="5"/>
    </row>
    <row r="64" ht="15.75" customHeight="1">
      <c r="B64" s="14" t="s">
        <v>131</v>
      </c>
      <c r="C64" s="15">
        <v>320.0</v>
      </c>
      <c r="D64" s="16" t="s">
        <v>230</v>
      </c>
      <c r="E64" s="30">
        <v>157500.0</v>
      </c>
      <c r="F64" s="17">
        <v>90000.0</v>
      </c>
      <c r="G64" s="30">
        <v>67500.0</v>
      </c>
      <c r="H64" s="5"/>
      <c r="I64" s="5"/>
    </row>
    <row r="65" ht="15.75" customHeight="1">
      <c r="B65" s="14" t="s">
        <v>139</v>
      </c>
      <c r="C65" s="15">
        <v>321.0</v>
      </c>
      <c r="D65" s="16" t="s">
        <v>219</v>
      </c>
      <c r="E65" s="30">
        <v>192500.0</v>
      </c>
      <c r="F65" s="17">
        <v>110000.0</v>
      </c>
      <c r="G65" s="30">
        <v>82500.0</v>
      </c>
      <c r="H65" s="10"/>
      <c r="I65" s="10"/>
    </row>
    <row r="66" ht="15.75" customHeight="1">
      <c r="B66" s="14" t="s">
        <v>140</v>
      </c>
      <c r="C66" s="15">
        <v>298.0</v>
      </c>
      <c r="D66" s="16" t="s">
        <v>224</v>
      </c>
      <c r="E66" s="30">
        <v>122500.0</v>
      </c>
      <c r="F66" s="17">
        <v>70000.0</v>
      </c>
      <c r="G66" s="30">
        <v>52500.0</v>
      </c>
      <c r="H66" s="13"/>
      <c r="I66" s="13"/>
    </row>
    <row r="67" ht="15.75" customHeight="1">
      <c r="B67" s="14" t="s">
        <v>140</v>
      </c>
      <c r="C67" s="15">
        <v>298.0</v>
      </c>
      <c r="D67" s="16" t="s">
        <v>224</v>
      </c>
      <c r="E67" s="30">
        <v>122500.0</v>
      </c>
      <c r="F67" s="30">
        <v>70000.0</v>
      </c>
      <c r="G67" s="30">
        <v>52500.0</v>
      </c>
      <c r="I67" s="27"/>
    </row>
    <row r="68" ht="15.75" customHeight="1">
      <c r="B68" s="14" t="s">
        <v>140</v>
      </c>
      <c r="C68" s="15"/>
      <c r="D68" s="16" t="s">
        <v>232</v>
      </c>
      <c r="E68" s="30">
        <v>182500.0</v>
      </c>
      <c r="F68" s="30">
        <v>110000.0</v>
      </c>
      <c r="G68" s="30">
        <v>70250.0</v>
      </c>
      <c r="H68" s="19"/>
      <c r="I68" s="27"/>
    </row>
    <row r="69" ht="15.75" customHeight="1">
      <c r="B69" s="14" t="s">
        <v>140</v>
      </c>
      <c r="C69" s="15">
        <v>320.0</v>
      </c>
      <c r="D69" s="16" t="s">
        <v>230</v>
      </c>
      <c r="E69" s="30">
        <v>157500.0</v>
      </c>
      <c r="F69" s="17">
        <v>90000.0</v>
      </c>
      <c r="G69" s="30">
        <v>67500.0</v>
      </c>
      <c r="H69" s="19"/>
      <c r="I69" s="27"/>
    </row>
    <row r="70" ht="15.75" customHeight="1">
      <c r="B70" s="14" t="s">
        <v>140</v>
      </c>
      <c r="C70" s="15">
        <v>292.0</v>
      </c>
      <c r="D70" s="16" t="s">
        <v>225</v>
      </c>
      <c r="E70" s="30">
        <v>218750.0</v>
      </c>
      <c r="F70" s="17">
        <v>125000.0</v>
      </c>
      <c r="G70" s="30">
        <v>93750.0</v>
      </c>
      <c r="H70" s="5"/>
      <c r="I70" s="26"/>
    </row>
    <row r="71" ht="15.75" customHeight="1">
      <c r="B71" s="14" t="s">
        <v>143</v>
      </c>
      <c r="C71" s="15">
        <v>298.0</v>
      </c>
      <c r="D71" s="16" t="s">
        <v>224</v>
      </c>
      <c r="E71" s="30">
        <v>122500.0</v>
      </c>
      <c r="F71" s="30">
        <v>70000.0</v>
      </c>
      <c r="G71" s="30">
        <v>52500.0</v>
      </c>
    </row>
    <row r="72" ht="15.75" customHeight="1">
      <c r="B72" s="14" t="s">
        <v>147</v>
      </c>
      <c r="C72" s="15">
        <v>298.0</v>
      </c>
      <c r="D72" s="16" t="s">
        <v>224</v>
      </c>
      <c r="E72" s="30">
        <v>122500.0</v>
      </c>
      <c r="F72" s="30">
        <v>70000.0</v>
      </c>
      <c r="G72" s="30">
        <v>52500.0</v>
      </c>
    </row>
    <row r="73" ht="15.75" customHeight="1">
      <c r="B73" s="14" t="s">
        <v>147</v>
      </c>
      <c r="C73" s="15">
        <v>203.0</v>
      </c>
      <c r="D73" s="16" t="s">
        <v>220</v>
      </c>
      <c r="E73" s="30">
        <v>280000.0</v>
      </c>
      <c r="F73" s="30">
        <v>160000.0</v>
      </c>
      <c r="G73" s="30">
        <v>120000.0</v>
      </c>
    </row>
    <row r="74" ht="15.75" customHeight="1">
      <c r="B74" s="14" t="s">
        <v>147</v>
      </c>
      <c r="C74" s="15">
        <v>203.0</v>
      </c>
      <c r="D74" s="16" t="s">
        <v>220</v>
      </c>
      <c r="E74" s="30">
        <v>280000.0</v>
      </c>
      <c r="F74" s="30">
        <v>160000.0</v>
      </c>
      <c r="G74" s="30">
        <v>120000.0</v>
      </c>
    </row>
    <row r="75" ht="15.75" customHeight="1">
      <c r="B75" s="14" t="s">
        <v>154</v>
      </c>
      <c r="C75" s="15">
        <v>292.0</v>
      </c>
      <c r="D75" s="16" t="s">
        <v>233</v>
      </c>
      <c r="E75" s="30">
        <v>218750.0</v>
      </c>
      <c r="F75" s="17">
        <v>125000.0</v>
      </c>
      <c r="G75" s="30">
        <v>93750.0</v>
      </c>
    </row>
    <row r="76" ht="15.75" customHeight="1">
      <c r="B76" s="20" t="s">
        <v>216</v>
      </c>
      <c r="C76" s="2"/>
      <c r="D76" s="3"/>
      <c r="E76" s="33">
        <f t="shared" ref="E76:G76" si="5">SUM(E61:E75)</f>
        <v>2772500</v>
      </c>
      <c r="F76" s="21">
        <f t="shared" si="5"/>
        <v>1590000</v>
      </c>
      <c r="G76" s="49">
        <f t="shared" si="5"/>
        <v>1180250</v>
      </c>
      <c r="H76" s="23" t="s">
        <v>20</v>
      </c>
    </row>
    <row r="77" ht="15.75" customHeight="1">
      <c r="B77" s="20" t="s">
        <v>218</v>
      </c>
      <c r="C77" s="2"/>
      <c r="D77" s="3"/>
      <c r="E77" s="33"/>
      <c r="F77" s="21">
        <f>SUM(F76)</f>
        <v>1590000</v>
      </c>
      <c r="G77" s="33"/>
    </row>
    <row r="78" ht="15.75" customHeight="1">
      <c r="B78" s="19"/>
      <c r="D78" s="27"/>
    </row>
    <row r="79" ht="15.75" customHeight="1">
      <c r="B79" s="19"/>
      <c r="D79" s="27"/>
    </row>
    <row r="80" ht="15.75" customHeight="1">
      <c r="B80" s="1" t="s">
        <v>0</v>
      </c>
      <c r="C80" s="2"/>
      <c r="D80" s="3"/>
      <c r="E80" s="28"/>
      <c r="F80" s="28"/>
      <c r="G80" s="28"/>
    </row>
    <row r="81" ht="15.75" customHeight="1">
      <c r="B81" s="6" t="s">
        <v>214</v>
      </c>
      <c r="C81" s="2"/>
      <c r="D81" s="3"/>
      <c r="E81" s="7"/>
      <c r="F81" s="7"/>
      <c r="G81" s="7"/>
    </row>
    <row r="82" ht="15.75" customHeight="1">
      <c r="B82" s="8" t="s">
        <v>157</v>
      </c>
      <c r="C82" s="2"/>
      <c r="D82" s="3"/>
      <c r="E82" s="9"/>
      <c r="F82" s="9"/>
      <c r="G82" s="9"/>
    </row>
    <row r="83" ht="15.75" customHeight="1">
      <c r="B83" s="47" t="s">
        <v>3</v>
      </c>
      <c r="C83" s="47" t="s">
        <v>4</v>
      </c>
      <c r="D83" s="47" t="s">
        <v>5</v>
      </c>
      <c r="E83" s="47" t="s">
        <v>6</v>
      </c>
      <c r="F83" s="47" t="s">
        <v>7</v>
      </c>
      <c r="G83" s="48" t="s">
        <v>8</v>
      </c>
    </row>
    <row r="84" ht="15.75" customHeight="1">
      <c r="B84" s="14" t="s">
        <v>234</v>
      </c>
      <c r="C84" s="15">
        <v>292.0</v>
      </c>
      <c r="D84" s="16" t="s">
        <v>233</v>
      </c>
      <c r="E84" s="30">
        <v>218750.0</v>
      </c>
      <c r="F84" s="17">
        <v>125000.0</v>
      </c>
      <c r="G84" s="30">
        <v>93750.0</v>
      </c>
    </row>
    <row r="85" ht="15.75" customHeight="1">
      <c r="B85" s="14" t="s">
        <v>161</v>
      </c>
      <c r="C85" s="15">
        <v>298.0</v>
      </c>
      <c r="D85" s="16" t="s">
        <v>226</v>
      </c>
      <c r="E85" s="30">
        <v>122500.0</v>
      </c>
      <c r="F85" s="17">
        <v>70000.0</v>
      </c>
      <c r="G85" s="30">
        <v>52500.0</v>
      </c>
    </row>
    <row r="86" ht="15.75" customHeight="1">
      <c r="B86" s="14" t="s">
        <v>235</v>
      </c>
      <c r="C86" s="15">
        <v>298.0</v>
      </c>
      <c r="D86" s="16" t="s">
        <v>226</v>
      </c>
      <c r="E86" s="30">
        <v>122500.0</v>
      </c>
      <c r="F86" s="17">
        <v>70000.0</v>
      </c>
      <c r="G86" s="30">
        <v>52500.0</v>
      </c>
    </row>
    <row r="87" ht="15.75" customHeight="1">
      <c r="B87" s="14" t="s">
        <v>236</v>
      </c>
      <c r="C87" s="15">
        <v>298.0</v>
      </c>
      <c r="D87" s="16" t="s">
        <v>226</v>
      </c>
      <c r="E87" s="30">
        <v>122500.0</v>
      </c>
      <c r="F87" s="17">
        <v>70000.0</v>
      </c>
      <c r="G87" s="30">
        <v>52500.0</v>
      </c>
    </row>
    <row r="88" ht="15.75" customHeight="1">
      <c r="B88" s="14" t="s">
        <v>166</v>
      </c>
      <c r="C88" s="15">
        <v>298.0</v>
      </c>
      <c r="D88" s="16" t="s">
        <v>226</v>
      </c>
      <c r="E88" s="30">
        <v>122500.0</v>
      </c>
      <c r="F88" s="17">
        <v>70000.0</v>
      </c>
      <c r="G88" s="30">
        <v>52500.0</v>
      </c>
    </row>
    <row r="89" ht="15.75" customHeight="1">
      <c r="B89" s="14" t="s">
        <v>173</v>
      </c>
      <c r="C89" s="15">
        <v>293.0</v>
      </c>
      <c r="D89" s="16" t="s">
        <v>221</v>
      </c>
      <c r="E89" s="30">
        <v>280000.0</v>
      </c>
      <c r="F89" s="17">
        <v>160000.0</v>
      </c>
      <c r="G89" s="30">
        <v>120000.0</v>
      </c>
    </row>
    <row r="90" ht="15.75" customHeight="1">
      <c r="B90" s="20" t="s">
        <v>216</v>
      </c>
      <c r="C90" s="2"/>
      <c r="D90" s="3"/>
      <c r="E90" s="33">
        <f t="shared" ref="E90:G90" si="6">SUM(E84:E89)</f>
        <v>988750</v>
      </c>
      <c r="F90" s="21">
        <f t="shared" si="6"/>
        <v>565000</v>
      </c>
      <c r="G90" s="49">
        <f t="shared" si="6"/>
        <v>423750</v>
      </c>
      <c r="H90" s="23" t="s">
        <v>20</v>
      </c>
    </row>
    <row r="91" ht="15.75" customHeight="1">
      <c r="B91" s="20" t="s">
        <v>218</v>
      </c>
      <c r="C91" s="2"/>
      <c r="D91" s="3"/>
      <c r="E91" s="33"/>
      <c r="F91" s="21">
        <f>SUM(F90)</f>
        <v>565000</v>
      </c>
      <c r="G91" s="33"/>
    </row>
    <row r="92" ht="15.75" customHeight="1">
      <c r="B92" s="19"/>
      <c r="D92" s="27"/>
    </row>
    <row r="93" ht="15.75" customHeight="1">
      <c r="B93" s="32"/>
      <c r="C93" s="19"/>
      <c r="D93" s="50"/>
    </row>
    <row r="94" ht="15.75" customHeight="1">
      <c r="B94" s="19"/>
      <c r="C94" s="19"/>
      <c r="D94" s="50"/>
    </row>
    <row r="95" ht="15.75" customHeight="1">
      <c r="B95" s="10"/>
      <c r="C95" s="10"/>
      <c r="D95" s="26"/>
    </row>
    <row r="96" ht="15.75" customHeight="1">
      <c r="B96" s="57"/>
      <c r="C96" s="58"/>
      <c r="D96" s="59"/>
    </row>
    <row r="97" ht="15.75" customHeight="1">
      <c r="B97" s="57"/>
      <c r="C97" s="58"/>
      <c r="D97" s="59"/>
    </row>
    <row r="98" ht="15.75" customHeight="1">
      <c r="B98" s="5"/>
      <c r="C98" s="5"/>
      <c r="D98" s="5"/>
    </row>
    <row r="99" ht="15.75" customHeight="1">
      <c r="B99" s="5"/>
      <c r="C99" s="5"/>
      <c r="D99" s="5"/>
    </row>
    <row r="100" ht="15.75" customHeight="1">
      <c r="B100" s="10"/>
      <c r="C100" s="10"/>
      <c r="D100" s="10"/>
    </row>
    <row r="101" ht="15.75" customHeight="1">
      <c r="B101" s="13"/>
      <c r="C101" s="13"/>
      <c r="D101" s="13"/>
    </row>
    <row r="102" ht="15.75" customHeight="1">
      <c r="B102" s="19"/>
      <c r="D102" s="27"/>
    </row>
    <row r="103" ht="15.75" customHeight="1">
      <c r="B103" s="19"/>
      <c r="D103" s="27"/>
    </row>
    <row r="104" ht="15.75" customHeight="1">
      <c r="B104" s="19"/>
      <c r="D104" s="27"/>
    </row>
    <row r="105" ht="15.75" customHeight="1">
      <c r="B105" s="19"/>
      <c r="D105" s="27"/>
    </row>
    <row r="106" ht="15.75" customHeight="1">
      <c r="B106" s="19"/>
      <c r="D106" s="27"/>
    </row>
    <row r="107" ht="15.75" customHeight="1">
      <c r="B107" s="19"/>
      <c r="D107" s="27"/>
    </row>
    <row r="108" ht="15.75" customHeight="1">
      <c r="B108" s="32"/>
      <c r="C108" s="19"/>
      <c r="D108" s="50"/>
    </row>
    <row r="109" ht="15.75" customHeight="1">
      <c r="B109" s="19"/>
      <c r="C109" s="19"/>
      <c r="D109" s="50"/>
    </row>
    <row r="110" ht="15.75" customHeight="1">
      <c r="B110" s="19"/>
      <c r="C110" s="19"/>
      <c r="D110" s="27"/>
    </row>
    <row r="111" ht="15.75" customHeight="1">
      <c r="B111" s="10"/>
      <c r="C111" s="10"/>
      <c r="D111" s="26"/>
    </row>
    <row r="112" ht="15.75" customHeight="1">
      <c r="B112" s="10"/>
      <c r="C112" s="10"/>
      <c r="D112" s="26"/>
    </row>
    <row r="113" ht="15.75" customHeight="1">
      <c r="B113" s="19"/>
      <c r="C113" s="19"/>
      <c r="D113" s="27"/>
    </row>
    <row r="114" ht="15.75" customHeight="1">
      <c r="B114" s="5"/>
      <c r="C114" s="5"/>
      <c r="D114" s="5"/>
    </row>
    <row r="115" ht="15.75" customHeight="1">
      <c r="B115" s="5"/>
      <c r="C115" s="5"/>
      <c r="D115" s="5"/>
    </row>
    <row r="116" ht="15.75" customHeight="1">
      <c r="B116" s="10"/>
      <c r="C116" s="10"/>
      <c r="D116" s="10"/>
    </row>
    <row r="117" ht="15.75" customHeight="1">
      <c r="B117" s="13"/>
      <c r="C117" s="13"/>
      <c r="D117" s="13"/>
    </row>
    <row r="118" ht="15.75" customHeight="1">
      <c r="B118" s="19"/>
      <c r="D118" s="27"/>
    </row>
    <row r="119" ht="15.75" customHeight="1">
      <c r="B119" s="19"/>
      <c r="D119" s="27"/>
    </row>
    <row r="120" ht="15.75" customHeight="1">
      <c r="B120" s="19"/>
      <c r="D120" s="27"/>
    </row>
    <row r="121" ht="15.75" customHeight="1">
      <c r="B121" s="32"/>
      <c r="C121" s="19"/>
      <c r="D121" s="50"/>
    </row>
    <row r="122" ht="15.75" customHeight="1">
      <c r="B122" s="19"/>
      <c r="C122" s="19"/>
      <c r="D122" s="27"/>
    </row>
    <row r="123" ht="15.75" customHeight="1">
      <c r="B123" s="10"/>
      <c r="C123" s="10"/>
      <c r="D123" s="26"/>
    </row>
    <row r="124" ht="15.75" customHeight="1">
      <c r="B124" s="19"/>
      <c r="D124" s="27"/>
    </row>
    <row r="125" ht="15.75" customHeight="1">
      <c r="B125" s="19"/>
      <c r="D125" s="27"/>
    </row>
    <row r="126" ht="15.75" customHeight="1">
      <c r="B126" s="5"/>
      <c r="C126" s="5"/>
      <c r="D126" s="5"/>
    </row>
    <row r="127" ht="15.75" customHeight="1">
      <c r="B127" s="5"/>
      <c r="C127" s="5"/>
      <c r="D127" s="5"/>
    </row>
    <row r="128" ht="15.75" customHeight="1">
      <c r="B128" s="10"/>
      <c r="C128" s="10"/>
      <c r="D128" s="10"/>
    </row>
    <row r="129" ht="15.75" customHeight="1">
      <c r="B129" s="13"/>
      <c r="C129" s="13"/>
      <c r="D129" s="13"/>
    </row>
    <row r="130" ht="15.75" customHeight="1">
      <c r="B130" s="19"/>
      <c r="D130" s="27"/>
    </row>
    <row r="131" ht="15.75" customHeight="1">
      <c r="B131" s="10"/>
      <c r="C131" s="10"/>
      <c r="D131" s="26"/>
    </row>
    <row r="132" ht="15.75" customHeight="1">
      <c r="B132" s="10"/>
      <c r="C132" s="10"/>
      <c r="D132" s="26"/>
    </row>
    <row r="133" ht="15.75" customHeight="1">
      <c r="B133" s="19"/>
      <c r="C133" s="19"/>
      <c r="D133" s="27"/>
    </row>
    <row r="134" ht="15.75" customHeight="1">
      <c r="B134" s="5"/>
      <c r="C134" s="5"/>
      <c r="D134" s="5"/>
    </row>
    <row r="135" ht="15.75" customHeight="1">
      <c r="B135" s="5"/>
      <c r="C135" s="5"/>
      <c r="D135" s="5"/>
    </row>
    <row r="136" ht="15.75" customHeight="1">
      <c r="B136" s="10"/>
      <c r="C136" s="10"/>
      <c r="D136" s="10"/>
    </row>
    <row r="137" ht="15.75" customHeight="1">
      <c r="B137" s="13"/>
      <c r="C137" s="13"/>
      <c r="D137" s="13"/>
    </row>
    <row r="138" ht="15.75" customHeight="1">
      <c r="B138" s="19"/>
      <c r="D138" s="27"/>
    </row>
    <row r="139" ht="15.75" customHeight="1">
      <c r="B139" s="19"/>
      <c r="D139" s="27"/>
    </row>
    <row r="140" ht="15.75" customHeight="1">
      <c r="B140" s="19"/>
      <c r="D140" s="27"/>
    </row>
    <row r="141" ht="15.75" customHeight="1">
      <c r="B141" s="19"/>
      <c r="D141" s="27"/>
    </row>
    <row r="142" ht="15.75" customHeight="1">
      <c r="B142" s="19"/>
      <c r="D142" s="27"/>
    </row>
    <row r="143" ht="15.75" customHeight="1">
      <c r="B143" s="19"/>
      <c r="D143" s="27"/>
    </row>
    <row r="144" ht="15.75" customHeight="1">
      <c r="B144" s="19"/>
      <c r="D144" s="27"/>
    </row>
    <row r="145" ht="15.75" customHeight="1">
      <c r="B145" s="10"/>
      <c r="C145" s="10"/>
      <c r="D145" s="26"/>
    </row>
    <row r="146" ht="15.75" customHeight="1"/>
    <row r="147" ht="15.75" customHeight="1"/>
    <row r="148" ht="15.75" customHeight="1">
      <c r="B148" s="5"/>
      <c r="C148" s="5"/>
      <c r="D148" s="5"/>
    </row>
    <row r="149" ht="15.75" customHeight="1">
      <c r="B149" s="5"/>
      <c r="C149" s="5"/>
      <c r="D149" s="5"/>
    </row>
    <row r="150" ht="15.75" customHeight="1">
      <c r="B150" s="10"/>
      <c r="C150" s="10"/>
      <c r="D150" s="10"/>
    </row>
    <row r="151" ht="15.75" customHeight="1">
      <c r="B151" s="13"/>
      <c r="C151" s="13"/>
      <c r="D151" s="13"/>
    </row>
    <row r="152" ht="15.75" customHeight="1">
      <c r="B152" s="19"/>
      <c r="D152" s="27"/>
    </row>
    <row r="153" ht="15.75" customHeight="1">
      <c r="B153" s="19"/>
      <c r="D153" s="27"/>
    </row>
    <row r="154" ht="15.75" customHeight="1">
      <c r="B154" s="19"/>
      <c r="D154" s="27"/>
    </row>
    <row r="155" ht="15.75" customHeight="1">
      <c r="B155" s="19"/>
      <c r="D155" s="27"/>
    </row>
    <row r="156" ht="15.75" customHeight="1">
      <c r="B156" s="19"/>
      <c r="D156" s="27"/>
    </row>
    <row r="157" ht="15.75" customHeight="1">
      <c r="B157" s="19"/>
      <c r="D157" s="27"/>
    </row>
    <row r="158" ht="15.75" customHeight="1">
      <c r="B158" s="19"/>
      <c r="D158" s="27"/>
    </row>
    <row r="159" ht="15.75" customHeight="1">
      <c r="B159" s="19"/>
      <c r="D159" s="27"/>
    </row>
    <row r="160" ht="15.75" customHeight="1">
      <c r="B160" s="32"/>
      <c r="C160" s="19"/>
      <c r="D160" s="50"/>
    </row>
    <row r="161" ht="15.75" customHeight="1">
      <c r="B161" s="19"/>
      <c r="C161" s="19"/>
      <c r="D161" s="50"/>
    </row>
    <row r="162" ht="15.75" customHeight="1">
      <c r="B162" s="10"/>
      <c r="C162" s="10"/>
      <c r="D162" s="26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9">
    <mergeCell ref="B2:D2"/>
    <mergeCell ref="E2:E4"/>
    <mergeCell ref="F2:F4"/>
    <mergeCell ref="G2:G4"/>
    <mergeCell ref="B3:D3"/>
    <mergeCell ref="B4:D4"/>
    <mergeCell ref="B7:D7"/>
    <mergeCell ref="B8:D8"/>
    <mergeCell ref="B9:D9"/>
    <mergeCell ref="B12:D12"/>
    <mergeCell ref="E12:E14"/>
    <mergeCell ref="F12:F14"/>
    <mergeCell ref="G12:G14"/>
    <mergeCell ref="B13:D13"/>
    <mergeCell ref="B14:D14"/>
    <mergeCell ref="B18:D18"/>
    <mergeCell ref="B19:D19"/>
    <mergeCell ref="B22:D22"/>
    <mergeCell ref="E22:E24"/>
    <mergeCell ref="F22:F24"/>
    <mergeCell ref="G22:G24"/>
    <mergeCell ref="B23:D23"/>
    <mergeCell ref="B24:D24"/>
    <mergeCell ref="B41:D41"/>
    <mergeCell ref="B42:D42"/>
    <mergeCell ref="E45:E47"/>
    <mergeCell ref="F45:F47"/>
    <mergeCell ref="G45:G47"/>
    <mergeCell ref="B47:D47"/>
    <mergeCell ref="B45:D45"/>
    <mergeCell ref="B46:D46"/>
    <mergeCell ref="B53:D53"/>
    <mergeCell ref="B54:D54"/>
    <mergeCell ref="E57:E59"/>
    <mergeCell ref="F57:F59"/>
    <mergeCell ref="G57:G59"/>
    <mergeCell ref="B59:D59"/>
    <mergeCell ref="B80:D80"/>
    <mergeCell ref="B81:D81"/>
    <mergeCell ref="B90:D90"/>
    <mergeCell ref="B91:D91"/>
    <mergeCell ref="B57:D57"/>
    <mergeCell ref="B58:D58"/>
    <mergeCell ref="B76:D76"/>
    <mergeCell ref="B77:D77"/>
    <mergeCell ref="E80:E82"/>
    <mergeCell ref="F80:F82"/>
    <mergeCell ref="G80:G82"/>
    <mergeCell ref="B82:D8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4.14"/>
    <col customWidth="1" min="3" max="3" width="6.14"/>
    <col customWidth="1" min="4" max="4" width="29.43"/>
    <col customWidth="1" min="5" max="5" width="13.86"/>
    <col customWidth="1" min="6" max="6" width="19.71"/>
    <col customWidth="1" min="7" max="7" width="20.86"/>
    <col customWidth="1" min="8" max="8" width="18.86"/>
    <col customWidth="1" min="9" max="10" width="10.71"/>
    <col customWidth="1" min="11" max="11" width="21.29"/>
    <col customWidth="1" min="12" max="12" width="14.0"/>
    <col customWidth="1" min="13" max="26" width="10.71"/>
  </cols>
  <sheetData>
    <row r="2">
      <c r="B2" s="1" t="s">
        <v>0</v>
      </c>
      <c r="C2" s="2"/>
      <c r="D2" s="3"/>
      <c r="E2" s="4"/>
      <c r="F2" s="4"/>
      <c r="G2" s="4"/>
      <c r="H2" s="5"/>
      <c r="J2" s="5"/>
      <c r="K2" s="5"/>
      <c r="L2" s="5"/>
    </row>
    <row r="3">
      <c r="B3" s="6" t="s">
        <v>237</v>
      </c>
      <c r="C3" s="2"/>
      <c r="D3" s="3"/>
      <c r="E3" s="7"/>
      <c r="F3" s="7"/>
      <c r="G3" s="7"/>
      <c r="H3" s="5"/>
      <c r="J3" s="5"/>
      <c r="K3" s="5"/>
      <c r="L3" s="5"/>
    </row>
    <row r="4">
      <c r="B4" s="8" t="s">
        <v>2</v>
      </c>
      <c r="C4" s="2"/>
      <c r="D4" s="3"/>
      <c r="E4" s="9"/>
      <c r="F4" s="9"/>
      <c r="G4" s="9"/>
      <c r="H4" s="10"/>
      <c r="J4" s="10"/>
      <c r="K4" s="10"/>
      <c r="L4" s="10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  <c r="H5" s="13"/>
      <c r="J5" s="13"/>
      <c r="K5" s="13"/>
      <c r="L5" s="13"/>
    </row>
    <row r="6">
      <c r="B6" s="14" t="s">
        <v>12</v>
      </c>
      <c r="C6" s="15">
        <v>253.0</v>
      </c>
      <c r="D6" s="16" t="s">
        <v>238</v>
      </c>
      <c r="E6" s="17">
        <v>35000.0</v>
      </c>
      <c r="F6" s="17">
        <v>20000.0</v>
      </c>
      <c r="G6" s="17">
        <v>15000.0</v>
      </c>
      <c r="H6" s="18"/>
      <c r="J6" s="19"/>
      <c r="L6" s="18"/>
    </row>
    <row r="7">
      <c r="B7" s="20" t="s">
        <v>19</v>
      </c>
      <c r="C7" s="2"/>
      <c r="D7" s="3"/>
      <c r="E7" s="21">
        <f>SUM(E6)</f>
        <v>35000</v>
      </c>
      <c r="F7" s="21">
        <f>SUM(F5:F6)</f>
        <v>20000</v>
      </c>
      <c r="G7" s="22">
        <f>SUM(G6)</f>
        <v>15000</v>
      </c>
      <c r="H7" s="23" t="s">
        <v>20</v>
      </c>
      <c r="J7" s="19"/>
      <c r="L7" s="18"/>
    </row>
    <row r="8">
      <c r="B8" s="20" t="s">
        <v>218</v>
      </c>
      <c r="C8" s="2"/>
      <c r="D8" s="3"/>
      <c r="E8" s="21"/>
      <c r="F8" s="21">
        <f>SUM(F7)</f>
        <v>20000</v>
      </c>
      <c r="G8" s="21"/>
      <c r="H8" s="18"/>
      <c r="J8" s="19"/>
      <c r="L8" s="18"/>
    </row>
    <row r="9">
      <c r="B9" s="19"/>
      <c r="D9" s="27"/>
      <c r="G9" s="19"/>
      <c r="H9" s="18"/>
      <c r="J9" s="19"/>
      <c r="L9" s="18"/>
    </row>
    <row r="10">
      <c r="B10" s="19"/>
      <c r="D10" s="27"/>
      <c r="G10" s="19"/>
      <c r="H10" s="18"/>
      <c r="J10" s="19"/>
      <c r="L10" s="18"/>
    </row>
    <row r="11">
      <c r="B11" s="1" t="s">
        <v>0</v>
      </c>
      <c r="C11" s="2"/>
      <c r="D11" s="3"/>
      <c r="E11" s="4"/>
      <c r="F11" s="4"/>
      <c r="G11" s="4"/>
      <c r="H11" s="18"/>
      <c r="J11" s="19"/>
      <c r="L11" s="18"/>
    </row>
    <row r="12">
      <c r="B12" s="6" t="s">
        <v>237</v>
      </c>
      <c r="C12" s="2"/>
      <c r="D12" s="3"/>
      <c r="E12" s="7"/>
      <c r="F12" s="7"/>
      <c r="G12" s="7"/>
      <c r="H12" s="18"/>
      <c r="J12" s="19"/>
      <c r="L12" s="18"/>
    </row>
    <row r="13">
      <c r="B13" s="8" t="s">
        <v>22</v>
      </c>
      <c r="C13" s="2"/>
      <c r="D13" s="3"/>
      <c r="E13" s="9"/>
      <c r="F13" s="9"/>
      <c r="G13" s="9"/>
      <c r="H13" s="18"/>
      <c r="J13" s="19"/>
      <c r="L13" s="18"/>
    </row>
    <row r="14">
      <c r="B14" s="11" t="s">
        <v>3</v>
      </c>
      <c r="C14" s="11" t="s">
        <v>4</v>
      </c>
      <c r="D14" s="11" t="s">
        <v>5</v>
      </c>
      <c r="E14" s="11" t="s">
        <v>6</v>
      </c>
      <c r="F14" s="11" t="s">
        <v>7</v>
      </c>
      <c r="G14" s="12" t="s">
        <v>8</v>
      </c>
      <c r="H14" s="18"/>
      <c r="J14" s="19"/>
      <c r="L14" s="18"/>
    </row>
    <row r="15">
      <c r="B15" s="14" t="s">
        <v>34</v>
      </c>
      <c r="C15" s="15">
        <v>247.0</v>
      </c>
      <c r="D15" s="16" t="s">
        <v>239</v>
      </c>
      <c r="E15" s="17">
        <v>28000.0</v>
      </c>
      <c r="F15" s="17">
        <v>16000.0</v>
      </c>
      <c r="G15" s="17">
        <v>12000.0</v>
      </c>
      <c r="H15" s="18"/>
    </row>
    <row r="16">
      <c r="B16" s="14" t="s">
        <v>34</v>
      </c>
      <c r="C16" s="15">
        <v>255.0</v>
      </c>
      <c r="D16" s="16" t="s">
        <v>240</v>
      </c>
      <c r="E16" s="17">
        <v>43750.0</v>
      </c>
      <c r="F16" s="17">
        <v>25000.0</v>
      </c>
      <c r="G16" s="17">
        <v>18750.0</v>
      </c>
      <c r="H16" s="18"/>
    </row>
    <row r="17">
      <c r="B17" s="14" t="s">
        <v>56</v>
      </c>
      <c r="C17" s="15">
        <v>255.0</v>
      </c>
      <c r="D17" s="16" t="s">
        <v>238</v>
      </c>
      <c r="E17" s="17">
        <v>31500.0</v>
      </c>
      <c r="F17" s="17">
        <v>20000.0</v>
      </c>
      <c r="G17" s="17">
        <v>11500.0</v>
      </c>
      <c r="H17" s="18"/>
    </row>
    <row r="18">
      <c r="B18" s="20" t="s">
        <v>19</v>
      </c>
      <c r="C18" s="2"/>
      <c r="D18" s="3"/>
      <c r="E18" s="21">
        <f t="shared" ref="E18:G18" si="1">SUM(E15:E17)</f>
        <v>103250</v>
      </c>
      <c r="F18" s="21">
        <f t="shared" si="1"/>
        <v>61000</v>
      </c>
      <c r="G18" s="22">
        <f t="shared" si="1"/>
        <v>42250</v>
      </c>
      <c r="H18" s="23" t="s">
        <v>20</v>
      </c>
    </row>
    <row r="19">
      <c r="B19" s="20" t="s">
        <v>218</v>
      </c>
      <c r="C19" s="2"/>
      <c r="D19" s="3"/>
      <c r="E19" s="21"/>
      <c r="F19" s="21">
        <f>SUM(F18)</f>
        <v>61000</v>
      </c>
      <c r="G19" s="21"/>
      <c r="H19" s="18"/>
    </row>
    <row r="20">
      <c r="B20" s="5"/>
      <c r="C20" s="5"/>
      <c r="D20" s="5"/>
      <c r="G20" s="19"/>
      <c r="H20" s="18"/>
    </row>
    <row r="21">
      <c r="B21" s="10"/>
      <c r="C21" s="10"/>
      <c r="D21" s="10"/>
      <c r="G21" s="5"/>
      <c r="H21" s="31"/>
    </row>
    <row r="22">
      <c r="B22" s="1" t="s">
        <v>0</v>
      </c>
      <c r="C22" s="2"/>
      <c r="D22" s="3"/>
      <c r="E22" s="4"/>
      <c r="F22" s="4"/>
      <c r="G22" s="4"/>
    </row>
    <row r="23" ht="15.75" customHeight="1">
      <c r="B23" s="6" t="s">
        <v>237</v>
      </c>
      <c r="C23" s="2"/>
      <c r="D23" s="3"/>
      <c r="E23" s="7"/>
      <c r="F23" s="7"/>
      <c r="G23" s="7"/>
      <c r="H23" s="5"/>
    </row>
    <row r="24" ht="15.75" customHeight="1">
      <c r="B24" s="8" t="s">
        <v>64</v>
      </c>
      <c r="C24" s="2"/>
      <c r="D24" s="3"/>
      <c r="E24" s="9"/>
      <c r="F24" s="9"/>
      <c r="G24" s="9"/>
      <c r="H24" s="5"/>
    </row>
    <row r="25" ht="15.75" customHeight="1">
      <c r="B25" s="11" t="s">
        <v>3</v>
      </c>
      <c r="C25" s="11" t="s">
        <v>4</v>
      </c>
      <c r="D25" s="11" t="s">
        <v>5</v>
      </c>
      <c r="E25" s="11" t="s">
        <v>6</v>
      </c>
      <c r="F25" s="11" t="s">
        <v>7</v>
      </c>
      <c r="G25" s="12" t="s">
        <v>8</v>
      </c>
      <c r="H25" s="10"/>
    </row>
    <row r="26" ht="15.75" customHeight="1">
      <c r="B26" s="14" t="s">
        <v>67</v>
      </c>
      <c r="C26" s="15">
        <v>247.0</v>
      </c>
      <c r="D26" s="16" t="s">
        <v>241</v>
      </c>
      <c r="E26" s="30">
        <v>28000.0</v>
      </c>
      <c r="F26" s="17">
        <v>16000.0</v>
      </c>
      <c r="G26" s="30">
        <v>12000.0</v>
      </c>
      <c r="H26" s="13"/>
    </row>
    <row r="27" ht="15.75" customHeight="1">
      <c r="B27" s="14" t="s">
        <v>83</v>
      </c>
      <c r="C27" s="15">
        <v>263.0</v>
      </c>
      <c r="D27" s="16" t="s">
        <v>242</v>
      </c>
      <c r="E27" s="30">
        <v>38500.0</v>
      </c>
      <c r="F27" s="17">
        <v>22000.0</v>
      </c>
      <c r="G27" s="30">
        <v>16500.0</v>
      </c>
      <c r="H27" s="18"/>
    </row>
    <row r="28" ht="15.75" customHeight="1">
      <c r="B28" s="20" t="s">
        <v>19</v>
      </c>
      <c r="C28" s="2"/>
      <c r="D28" s="3"/>
      <c r="E28" s="33">
        <f t="shared" ref="E28:G28" si="2">SUM(E26:E27)</f>
        <v>66500</v>
      </c>
      <c r="F28" s="21">
        <f t="shared" si="2"/>
        <v>38000</v>
      </c>
      <c r="G28" s="49">
        <f t="shared" si="2"/>
        <v>28500</v>
      </c>
      <c r="H28" s="23" t="s">
        <v>20</v>
      </c>
    </row>
    <row r="29" ht="15.75" customHeight="1">
      <c r="B29" s="20" t="s">
        <v>218</v>
      </c>
      <c r="C29" s="2"/>
      <c r="D29" s="3"/>
      <c r="E29" s="33"/>
      <c r="F29" s="21">
        <f>SUM(F28)</f>
        <v>38000</v>
      </c>
      <c r="G29" s="33"/>
      <c r="H29" s="18"/>
    </row>
    <row r="30" ht="15.75" customHeight="1">
      <c r="B30" s="5"/>
      <c r="C30" s="5"/>
      <c r="D30" s="5"/>
      <c r="G30" s="19"/>
      <c r="H30" s="18"/>
    </row>
    <row r="31" ht="15.75" customHeight="1">
      <c r="B31" s="10"/>
      <c r="C31" s="10"/>
      <c r="D31" s="10"/>
      <c r="G31" s="5"/>
      <c r="H31" s="5"/>
    </row>
    <row r="32" ht="15.75" customHeight="1">
      <c r="B32" s="1" t="s">
        <v>0</v>
      </c>
      <c r="C32" s="2"/>
      <c r="D32" s="3"/>
      <c r="E32" s="28"/>
      <c r="F32" s="28"/>
      <c r="G32" s="28"/>
      <c r="H32" s="5"/>
    </row>
    <row r="33" ht="15.75" customHeight="1">
      <c r="B33" s="6" t="s">
        <v>237</v>
      </c>
      <c r="C33" s="2"/>
      <c r="D33" s="3"/>
      <c r="E33" s="7"/>
      <c r="F33" s="7"/>
      <c r="G33" s="7"/>
      <c r="H33" s="10"/>
    </row>
    <row r="34" ht="15.75" customHeight="1">
      <c r="B34" s="8" t="s">
        <v>101</v>
      </c>
      <c r="C34" s="2"/>
      <c r="D34" s="3"/>
      <c r="E34" s="9"/>
      <c r="F34" s="9"/>
      <c r="G34" s="9"/>
      <c r="H34" s="13"/>
    </row>
    <row r="35" ht="15.75" customHeight="1">
      <c r="B35" s="47" t="s">
        <v>3</v>
      </c>
      <c r="C35" s="47" t="s">
        <v>4</v>
      </c>
      <c r="D35" s="47" t="s">
        <v>5</v>
      </c>
      <c r="E35" s="47" t="s">
        <v>6</v>
      </c>
      <c r="F35" s="47" t="s">
        <v>7</v>
      </c>
      <c r="G35" s="48" t="s">
        <v>8</v>
      </c>
      <c r="H35" s="18"/>
    </row>
    <row r="36" ht="15.75" customHeight="1">
      <c r="B36" s="14" t="s">
        <v>243</v>
      </c>
      <c r="C36" s="15">
        <v>247.0</v>
      </c>
      <c r="D36" s="16" t="s">
        <v>241</v>
      </c>
      <c r="E36" s="30">
        <v>28000.0</v>
      </c>
      <c r="F36" s="17">
        <v>16000.0</v>
      </c>
      <c r="G36" s="30">
        <v>12000.0</v>
      </c>
      <c r="H36" s="18"/>
    </row>
    <row r="37" ht="15.75" customHeight="1">
      <c r="B37" s="20" t="s">
        <v>19</v>
      </c>
      <c r="C37" s="2"/>
      <c r="D37" s="3"/>
      <c r="E37" s="33">
        <f t="shared" ref="E37:G37" si="3">SUM(E35:E36)</f>
        <v>28000</v>
      </c>
      <c r="F37" s="21">
        <f t="shared" si="3"/>
        <v>16000</v>
      </c>
      <c r="G37" s="49">
        <f t="shared" si="3"/>
        <v>12000</v>
      </c>
      <c r="H37" s="23" t="s">
        <v>20</v>
      </c>
    </row>
    <row r="38" ht="15.75" customHeight="1">
      <c r="B38" s="20" t="s">
        <v>218</v>
      </c>
      <c r="C38" s="2"/>
      <c r="D38" s="3"/>
      <c r="E38" s="33"/>
      <c r="F38" s="21">
        <f>SUM(F37)</f>
        <v>16000</v>
      </c>
      <c r="G38" s="33"/>
      <c r="H38" s="18"/>
    </row>
    <row r="39" ht="15.75" customHeight="1">
      <c r="B39" s="13"/>
      <c r="C39" s="13"/>
      <c r="D39" s="13"/>
      <c r="G39" s="19"/>
      <c r="H39" s="18"/>
    </row>
    <row r="40" ht="15.75" customHeight="1">
      <c r="B40" s="19"/>
      <c r="D40" s="18"/>
      <c r="G40" s="19"/>
      <c r="H40" s="18"/>
    </row>
    <row r="41" ht="15.75" customHeight="1">
      <c r="B41" s="1" t="s">
        <v>0</v>
      </c>
      <c r="C41" s="2"/>
      <c r="D41" s="3"/>
      <c r="E41" s="28"/>
      <c r="F41" s="28"/>
      <c r="G41" s="28"/>
      <c r="H41" s="31"/>
    </row>
    <row r="42" ht="15.75" customHeight="1">
      <c r="B42" s="6" t="s">
        <v>237</v>
      </c>
      <c r="C42" s="2"/>
      <c r="D42" s="3"/>
      <c r="E42" s="7"/>
      <c r="F42" s="7"/>
      <c r="G42" s="7"/>
      <c r="H42" s="18"/>
    </row>
    <row r="43" ht="15.75" customHeight="1">
      <c r="B43" s="8" t="s">
        <v>126</v>
      </c>
      <c r="C43" s="2"/>
      <c r="D43" s="3"/>
      <c r="E43" s="9"/>
      <c r="F43" s="9"/>
      <c r="G43" s="9"/>
    </row>
    <row r="44" ht="15.75" customHeight="1">
      <c r="B44" s="47" t="s">
        <v>3</v>
      </c>
      <c r="C44" s="47" t="s">
        <v>4</v>
      </c>
      <c r="D44" s="47" t="s">
        <v>5</v>
      </c>
      <c r="E44" s="47" t="s">
        <v>6</v>
      </c>
      <c r="F44" s="47" t="s">
        <v>7</v>
      </c>
      <c r="G44" s="48" t="s">
        <v>8</v>
      </c>
    </row>
    <row r="45" ht="15.75" customHeight="1">
      <c r="B45" s="14" t="s">
        <v>131</v>
      </c>
      <c r="C45" s="15">
        <v>263.0</v>
      </c>
      <c r="D45" s="16" t="s">
        <v>244</v>
      </c>
      <c r="E45" s="30">
        <v>38500.0</v>
      </c>
      <c r="F45" s="17">
        <v>22000.0</v>
      </c>
      <c r="G45" s="30">
        <v>16500.0</v>
      </c>
    </row>
    <row r="46" ht="15.75" customHeight="1">
      <c r="B46" s="14" t="s">
        <v>131</v>
      </c>
      <c r="C46" s="15">
        <v>263.0</v>
      </c>
      <c r="D46" s="16" t="s">
        <v>244</v>
      </c>
      <c r="E46" s="30">
        <v>38500.0</v>
      </c>
      <c r="F46" s="17">
        <v>22000.0</v>
      </c>
      <c r="G46" s="30">
        <v>16500.0</v>
      </c>
    </row>
    <row r="47" ht="15.75" customHeight="1">
      <c r="B47" s="14" t="s">
        <v>131</v>
      </c>
      <c r="C47" s="15">
        <v>263.0</v>
      </c>
      <c r="D47" s="16" t="s">
        <v>244</v>
      </c>
      <c r="E47" s="30">
        <v>38500.0</v>
      </c>
      <c r="F47" s="17">
        <v>22000.0</v>
      </c>
      <c r="G47" s="30">
        <v>16500.0</v>
      </c>
    </row>
    <row r="48" ht="15.75" customHeight="1">
      <c r="B48" s="14" t="s">
        <v>140</v>
      </c>
      <c r="C48" s="15"/>
      <c r="D48" s="16" t="s">
        <v>245</v>
      </c>
      <c r="E48" s="30">
        <v>56000.0</v>
      </c>
      <c r="F48" s="17">
        <v>32000.0</v>
      </c>
      <c r="G48" s="30">
        <v>24000.0</v>
      </c>
    </row>
    <row r="49" ht="15.75" customHeight="1">
      <c r="B49" s="14" t="s">
        <v>142</v>
      </c>
      <c r="C49" s="15"/>
      <c r="D49" s="16" t="s">
        <v>246</v>
      </c>
      <c r="E49" s="30">
        <v>10000.0</v>
      </c>
      <c r="F49" s="17">
        <v>4000.0</v>
      </c>
      <c r="G49" s="30">
        <v>6000.0</v>
      </c>
    </row>
    <row r="50" ht="15.75" customHeight="1">
      <c r="B50" s="14" t="s">
        <v>247</v>
      </c>
      <c r="C50" s="15"/>
      <c r="D50" s="16" t="s">
        <v>246</v>
      </c>
      <c r="E50" s="30">
        <v>10000.0</v>
      </c>
      <c r="F50" s="17">
        <v>4000.0</v>
      </c>
      <c r="G50" s="30">
        <v>6000.0</v>
      </c>
      <c r="H50" s="5"/>
      <c r="I50" s="5"/>
      <c r="J50" s="5"/>
    </row>
    <row r="51" ht="15.75" customHeight="1">
      <c r="B51" s="20" t="s">
        <v>19</v>
      </c>
      <c r="C51" s="2"/>
      <c r="D51" s="3"/>
      <c r="E51" s="33">
        <f t="shared" ref="E51:G51" si="4">SUM(E45:E50)</f>
        <v>191500</v>
      </c>
      <c r="F51" s="21">
        <f t="shared" si="4"/>
        <v>106000</v>
      </c>
      <c r="G51" s="49">
        <f t="shared" si="4"/>
        <v>85500</v>
      </c>
      <c r="H51" s="23" t="s">
        <v>20</v>
      </c>
      <c r="I51" s="5"/>
      <c r="J51" s="5"/>
    </row>
    <row r="52" ht="15.75" customHeight="1">
      <c r="B52" s="20" t="s">
        <v>218</v>
      </c>
      <c r="C52" s="2"/>
      <c r="D52" s="3"/>
      <c r="E52" s="33"/>
      <c r="F52" s="21">
        <f>SUM(F51)</f>
        <v>106000</v>
      </c>
      <c r="G52" s="33"/>
      <c r="H52" s="10"/>
      <c r="I52" s="10"/>
      <c r="J52" s="10"/>
    </row>
    <row r="53" ht="15.75" customHeight="1">
      <c r="B53" s="10"/>
      <c r="C53" s="10"/>
      <c r="D53" s="10"/>
      <c r="H53" s="13"/>
      <c r="I53" s="13"/>
      <c r="J53" s="13"/>
    </row>
    <row r="54" ht="15.75" customHeight="1">
      <c r="B54" s="13"/>
      <c r="C54" s="13"/>
      <c r="D54" s="13"/>
      <c r="H54" s="19"/>
      <c r="J54" s="18"/>
    </row>
    <row r="55" ht="15.75" customHeight="1">
      <c r="B55" s="1" t="s">
        <v>0</v>
      </c>
      <c r="C55" s="2"/>
      <c r="D55" s="3"/>
      <c r="E55" s="28"/>
      <c r="F55" s="28"/>
      <c r="G55" s="28"/>
      <c r="H55" s="19"/>
      <c r="J55" s="18"/>
    </row>
    <row r="56" ht="15.75" customHeight="1">
      <c r="B56" s="6" t="s">
        <v>237</v>
      </c>
      <c r="C56" s="2"/>
      <c r="D56" s="3"/>
      <c r="E56" s="7"/>
      <c r="F56" s="7"/>
      <c r="G56" s="7"/>
      <c r="H56" s="10"/>
      <c r="I56" s="10"/>
      <c r="J56" s="31"/>
    </row>
    <row r="57" ht="15.75" customHeight="1">
      <c r="B57" s="8" t="s">
        <v>157</v>
      </c>
      <c r="C57" s="2"/>
      <c r="D57" s="3"/>
      <c r="E57" s="9"/>
      <c r="F57" s="9"/>
      <c r="G57" s="9"/>
    </row>
    <row r="58" ht="15.75" customHeight="1">
      <c r="B58" s="47" t="s">
        <v>3</v>
      </c>
      <c r="C58" s="47" t="s">
        <v>4</v>
      </c>
      <c r="D58" s="47" t="s">
        <v>5</v>
      </c>
      <c r="E58" s="47" t="s">
        <v>6</v>
      </c>
      <c r="F58" s="47" t="s">
        <v>7</v>
      </c>
      <c r="G58" s="48" t="s">
        <v>8</v>
      </c>
    </row>
    <row r="59" ht="15.75" customHeight="1">
      <c r="B59" s="14" t="s">
        <v>171</v>
      </c>
      <c r="C59" s="15">
        <v>252.0</v>
      </c>
      <c r="D59" s="16" t="s">
        <v>248</v>
      </c>
      <c r="E59" s="30">
        <v>10500.0</v>
      </c>
      <c r="F59" s="17">
        <v>6000.0</v>
      </c>
      <c r="G59" s="30">
        <v>4500.0</v>
      </c>
    </row>
    <row r="60" ht="15.75" customHeight="1">
      <c r="B60" s="20" t="s">
        <v>19</v>
      </c>
      <c r="C60" s="2"/>
      <c r="D60" s="3"/>
      <c r="E60" s="33">
        <f t="shared" ref="E60:G60" si="5">SUM(E54:E59)</f>
        <v>10500</v>
      </c>
      <c r="F60" s="21">
        <f t="shared" si="5"/>
        <v>6000</v>
      </c>
      <c r="G60" s="49">
        <f t="shared" si="5"/>
        <v>4500</v>
      </c>
      <c r="H60" s="23" t="s">
        <v>20</v>
      </c>
    </row>
    <row r="61" ht="15.75" customHeight="1">
      <c r="B61" s="20" t="s">
        <v>218</v>
      </c>
      <c r="C61" s="2"/>
      <c r="D61" s="3"/>
      <c r="E61" s="33"/>
      <c r="F61" s="21">
        <f>SUM(F60)</f>
        <v>6000</v>
      </c>
      <c r="G61" s="33"/>
    </row>
    <row r="62" ht="15.75" customHeight="1">
      <c r="B62" s="5"/>
      <c r="C62" s="5"/>
      <c r="D62" s="5"/>
    </row>
    <row r="63" ht="15.75" customHeight="1">
      <c r="B63" s="5"/>
      <c r="C63" s="5"/>
      <c r="D63" s="5"/>
    </row>
    <row r="64" ht="15.75" customHeight="1">
      <c r="B64" s="10"/>
      <c r="C64" s="10"/>
      <c r="D64" s="10"/>
    </row>
    <row r="65" ht="15.75" customHeight="1">
      <c r="B65" s="13"/>
      <c r="C65" s="13"/>
      <c r="D65" s="13"/>
    </row>
    <row r="66" ht="15.75" customHeight="1">
      <c r="B66" s="19"/>
      <c r="D66" s="27"/>
    </row>
    <row r="67" ht="15.75" customHeight="1">
      <c r="B67" s="10"/>
      <c r="C67" s="10"/>
      <c r="D67" s="26"/>
    </row>
    <row r="68" ht="15.75" customHeight="1">
      <c r="B68" s="19"/>
      <c r="D68" s="18"/>
    </row>
    <row r="69" ht="15.75" customHeight="1">
      <c r="B69" s="5"/>
      <c r="C69" s="5"/>
      <c r="D69" s="31"/>
    </row>
    <row r="70" ht="15.75" customHeight="1"/>
    <row r="71" ht="15.75" customHeight="1">
      <c r="B71" s="5"/>
      <c r="C71" s="5"/>
      <c r="D71" s="5"/>
    </row>
    <row r="72" ht="15.75" customHeight="1">
      <c r="B72" s="5"/>
      <c r="C72" s="5"/>
      <c r="D72" s="5"/>
    </row>
    <row r="73" ht="15.75" customHeight="1">
      <c r="B73" s="10"/>
      <c r="C73" s="10"/>
      <c r="D73" s="10"/>
    </row>
    <row r="74" ht="15.75" customHeight="1">
      <c r="B74" s="13"/>
      <c r="C74" s="13"/>
      <c r="D74" s="13"/>
    </row>
    <row r="75" ht="15.75" customHeight="1">
      <c r="B75" s="19"/>
      <c r="D75" s="27"/>
    </row>
    <row r="76" ht="15.75" customHeight="1">
      <c r="B76" s="19"/>
      <c r="D76" s="27"/>
    </row>
    <row r="77" ht="15.75" customHeight="1">
      <c r="B77" s="19"/>
      <c r="D77" s="27"/>
    </row>
    <row r="78" ht="15.75" customHeight="1">
      <c r="B78" s="10"/>
      <c r="C78" s="10"/>
      <c r="D78" s="26"/>
    </row>
    <row r="79" ht="15.75" customHeight="1">
      <c r="B79" s="5"/>
      <c r="C79" s="5"/>
      <c r="D79" s="5"/>
    </row>
    <row r="80" ht="15.75" customHeight="1">
      <c r="B80" s="10"/>
      <c r="C80" s="10"/>
      <c r="D80" s="10"/>
    </row>
    <row r="81" ht="15.75" customHeight="1">
      <c r="B81" s="5"/>
      <c r="C81" s="5"/>
      <c r="D81" s="5"/>
    </row>
    <row r="82" ht="15.75" customHeight="1">
      <c r="B82" s="5"/>
      <c r="C82" s="5"/>
      <c r="D82" s="5"/>
    </row>
    <row r="83" ht="15.75" customHeight="1">
      <c r="B83" s="10"/>
      <c r="C83" s="10"/>
      <c r="D83" s="10"/>
    </row>
    <row r="84" ht="15.75" customHeight="1">
      <c r="B84" s="13"/>
      <c r="C84" s="13"/>
      <c r="D84" s="13"/>
    </row>
    <row r="85" ht="15.75" customHeight="1">
      <c r="B85" s="19"/>
      <c r="D85" s="27"/>
    </row>
    <row r="86" ht="15.75" customHeight="1">
      <c r="B86" s="10"/>
      <c r="C86" s="10"/>
      <c r="D86" s="26"/>
    </row>
    <row r="87" ht="15.75" customHeight="1">
      <c r="B87" s="10"/>
      <c r="C87" s="10"/>
      <c r="D87" s="31"/>
    </row>
    <row r="88" ht="15.75" customHeight="1"/>
    <row r="89" ht="15.75" customHeight="1">
      <c r="B89" s="5"/>
      <c r="C89" s="5"/>
      <c r="D89" s="5"/>
    </row>
    <row r="90" ht="15.75" customHeight="1">
      <c r="B90" s="5"/>
      <c r="C90" s="5"/>
      <c r="D90" s="5"/>
    </row>
    <row r="91" ht="15.75" customHeight="1">
      <c r="B91" s="10"/>
      <c r="C91" s="10"/>
      <c r="D91" s="10"/>
    </row>
    <row r="92" ht="15.75" customHeight="1">
      <c r="B92" s="13"/>
      <c r="C92" s="13"/>
      <c r="D92" s="13"/>
    </row>
    <row r="93" ht="15.75" customHeight="1">
      <c r="B93" s="19"/>
      <c r="D93" s="27"/>
    </row>
    <row r="94" ht="15.75" customHeight="1">
      <c r="B94" s="10"/>
      <c r="C94" s="10"/>
      <c r="D94" s="26"/>
    </row>
    <row r="95" ht="15.75" customHeight="1">
      <c r="B95" s="10"/>
      <c r="C95" s="10"/>
      <c r="D95" s="31"/>
    </row>
    <row r="96" ht="15.75" customHeight="1"/>
    <row r="97" ht="15.75" customHeight="1">
      <c r="B97" s="5"/>
      <c r="C97" s="5"/>
      <c r="D97" s="5"/>
    </row>
    <row r="98" ht="15.75" customHeight="1">
      <c r="B98" s="5"/>
      <c r="C98" s="5"/>
      <c r="D98" s="5"/>
    </row>
    <row r="99" ht="15.75" customHeight="1">
      <c r="B99" s="10"/>
      <c r="C99" s="10"/>
      <c r="D99" s="10"/>
    </row>
    <row r="100" ht="15.75" customHeight="1">
      <c r="B100" s="13"/>
      <c r="C100" s="13"/>
      <c r="D100" s="13"/>
    </row>
    <row r="101" ht="15.75" customHeight="1">
      <c r="B101" s="19"/>
      <c r="D101" s="27"/>
    </row>
    <row r="102" ht="15.75" customHeight="1">
      <c r="B102" s="19"/>
      <c r="D102" s="27"/>
    </row>
    <row r="103" ht="15.75" customHeight="1">
      <c r="B103" s="19"/>
      <c r="D103" s="27"/>
    </row>
    <row r="104" ht="15.75" customHeight="1">
      <c r="B104" s="19"/>
      <c r="D104" s="27"/>
    </row>
    <row r="105" ht="15.75" customHeight="1">
      <c r="B105" s="19"/>
      <c r="D105" s="27"/>
    </row>
    <row r="106" ht="15.75" customHeight="1">
      <c r="B106" s="19"/>
      <c r="D106" s="27"/>
    </row>
    <row r="107" ht="15.75" customHeight="1">
      <c r="B107" s="19"/>
      <c r="D107" s="27"/>
    </row>
    <row r="108" ht="15.75" customHeight="1">
      <c r="B108" s="19"/>
      <c r="D108" s="27"/>
    </row>
    <row r="109" ht="15.75" customHeight="1">
      <c r="B109" s="10"/>
      <c r="C109" s="10"/>
      <c r="D109" s="26"/>
    </row>
    <row r="110" ht="15.75" customHeight="1">
      <c r="B110" s="19"/>
      <c r="D110" s="27"/>
    </row>
    <row r="111" ht="15.75" customHeight="1">
      <c r="B111" s="19"/>
      <c r="D111" s="27"/>
    </row>
    <row r="112" ht="15.75" customHeight="1">
      <c r="B112" s="19"/>
      <c r="D112" s="27"/>
    </row>
    <row r="113" ht="15.75" customHeight="1">
      <c r="B113" s="19"/>
      <c r="D113" s="27"/>
    </row>
    <row r="114" ht="15.75" customHeight="1">
      <c r="B114" s="19"/>
      <c r="D114" s="27"/>
    </row>
    <row r="115" ht="15.75" customHeight="1">
      <c r="B115" s="19"/>
      <c r="D115" s="27"/>
    </row>
    <row r="116" ht="15.75" customHeight="1">
      <c r="B116" s="19"/>
      <c r="D116" s="27"/>
    </row>
    <row r="117" ht="15.75" customHeight="1">
      <c r="B117" s="10"/>
      <c r="C117" s="10"/>
      <c r="D117" s="26"/>
    </row>
    <row r="118" ht="15.75" customHeight="1"/>
    <row r="119" ht="15.75" customHeight="1">
      <c r="B119" s="5"/>
      <c r="C119" s="5"/>
      <c r="D119" s="5"/>
    </row>
    <row r="120" ht="15.75" customHeight="1">
      <c r="B120" s="5"/>
      <c r="C120" s="5"/>
      <c r="D120" s="5"/>
    </row>
    <row r="121" ht="15.75" customHeight="1">
      <c r="B121" s="5"/>
      <c r="C121" s="5"/>
      <c r="D121" s="5"/>
    </row>
    <row r="122" ht="15.75" customHeight="1">
      <c r="B122" s="13"/>
      <c r="C122" s="13"/>
      <c r="D122" s="13"/>
    </row>
    <row r="123" ht="15.75" customHeight="1">
      <c r="B123" s="19"/>
      <c r="D123" s="27"/>
    </row>
    <row r="124" ht="15.75" customHeight="1">
      <c r="B124" s="19"/>
      <c r="D124" s="27"/>
    </row>
    <row r="125" ht="15.75" customHeight="1">
      <c r="B125" s="19"/>
      <c r="D125" s="27"/>
    </row>
    <row r="126" ht="15.75" customHeight="1">
      <c r="B126" s="19"/>
      <c r="D126" s="27"/>
    </row>
    <row r="127" ht="15.75" customHeight="1">
      <c r="B127" s="19"/>
      <c r="D127" s="27"/>
    </row>
    <row r="128" ht="15.75" customHeight="1">
      <c r="B128" s="19"/>
      <c r="D128" s="27"/>
    </row>
    <row r="129" ht="15.75" customHeight="1">
      <c r="B129" s="19"/>
      <c r="D129" s="27"/>
    </row>
    <row r="130" ht="15.75" customHeight="1">
      <c r="B130" s="10"/>
      <c r="C130" s="10"/>
      <c r="D130" s="26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8">
    <mergeCell ref="B2:D2"/>
    <mergeCell ref="E2:E4"/>
    <mergeCell ref="F2:F4"/>
    <mergeCell ref="G2:G4"/>
    <mergeCell ref="B3:D3"/>
    <mergeCell ref="B4:D4"/>
    <mergeCell ref="B7:D7"/>
    <mergeCell ref="B8:D8"/>
    <mergeCell ref="B11:D11"/>
    <mergeCell ref="E11:E13"/>
    <mergeCell ref="F11:F13"/>
    <mergeCell ref="G11:G13"/>
    <mergeCell ref="B12:D12"/>
    <mergeCell ref="B13:D13"/>
    <mergeCell ref="B18:D18"/>
    <mergeCell ref="B19:D19"/>
    <mergeCell ref="B22:D22"/>
    <mergeCell ref="E22:E24"/>
    <mergeCell ref="F22:F24"/>
    <mergeCell ref="G22:G24"/>
    <mergeCell ref="B23:D23"/>
    <mergeCell ref="B24:D24"/>
    <mergeCell ref="B28:D28"/>
    <mergeCell ref="B29:D29"/>
    <mergeCell ref="B32:D32"/>
    <mergeCell ref="E32:E34"/>
    <mergeCell ref="F32:F34"/>
    <mergeCell ref="G32:G34"/>
    <mergeCell ref="B33:D33"/>
    <mergeCell ref="B34:D34"/>
    <mergeCell ref="B37:D37"/>
    <mergeCell ref="B38:D38"/>
    <mergeCell ref="E41:E43"/>
    <mergeCell ref="F41:F43"/>
    <mergeCell ref="G41:G43"/>
    <mergeCell ref="B43:D43"/>
    <mergeCell ref="B55:D55"/>
    <mergeCell ref="B56:D56"/>
    <mergeCell ref="B60:D60"/>
    <mergeCell ref="B61:D61"/>
    <mergeCell ref="B41:D41"/>
    <mergeCell ref="B42:D42"/>
    <mergeCell ref="B51:D51"/>
    <mergeCell ref="B52:D52"/>
    <mergeCell ref="E55:E57"/>
    <mergeCell ref="F55:F57"/>
    <mergeCell ref="G55:G57"/>
    <mergeCell ref="B57:D5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3.0"/>
    <col customWidth="1" min="3" max="3" width="7.14"/>
    <col customWidth="1" min="4" max="4" width="23.0"/>
    <col customWidth="1" min="5" max="5" width="13.86"/>
    <col customWidth="1" min="6" max="6" width="21.0"/>
    <col customWidth="1" min="7" max="8" width="22.57"/>
    <col customWidth="1" min="9" max="9" width="17.29"/>
    <col customWidth="1" min="10" max="27" width="10.71"/>
  </cols>
  <sheetData>
    <row r="1">
      <c r="G1" s="10"/>
      <c r="H1" s="10"/>
      <c r="I1" s="26"/>
    </row>
    <row r="2">
      <c r="B2" s="1" t="s">
        <v>0</v>
      </c>
      <c r="C2" s="2"/>
      <c r="D2" s="3"/>
      <c r="E2" s="4"/>
      <c r="F2" s="4"/>
      <c r="G2" s="4"/>
      <c r="H2" s="60"/>
      <c r="I2" s="5"/>
    </row>
    <row r="3">
      <c r="B3" s="6" t="s">
        <v>249</v>
      </c>
      <c r="C3" s="2"/>
      <c r="D3" s="3"/>
      <c r="E3" s="7"/>
      <c r="F3" s="7"/>
      <c r="G3" s="7"/>
      <c r="H3" s="60"/>
      <c r="I3" s="5"/>
    </row>
    <row r="4">
      <c r="B4" s="8" t="s">
        <v>2</v>
      </c>
      <c r="C4" s="2"/>
      <c r="D4" s="3"/>
      <c r="E4" s="9"/>
      <c r="F4" s="9"/>
      <c r="G4" s="9"/>
      <c r="H4" s="60"/>
      <c r="I4" s="10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  <c r="H5" s="61"/>
      <c r="I5" s="13"/>
    </row>
    <row r="6">
      <c r="B6" s="14" t="s">
        <v>250</v>
      </c>
      <c r="C6" s="15">
        <v>363.0</v>
      </c>
      <c r="D6" s="16" t="s">
        <v>251</v>
      </c>
      <c r="E6" s="17">
        <v>78750.0</v>
      </c>
      <c r="F6" s="17">
        <v>45000.0</v>
      </c>
      <c r="G6" s="17">
        <v>33750.0</v>
      </c>
      <c r="H6" s="27"/>
      <c r="I6" s="27"/>
    </row>
    <row r="7">
      <c r="B7" s="14" t="s">
        <v>250</v>
      </c>
      <c r="C7" s="15">
        <v>363.0</v>
      </c>
      <c r="D7" s="16" t="s">
        <v>251</v>
      </c>
      <c r="E7" s="17">
        <v>78750.0</v>
      </c>
      <c r="F7" s="17">
        <v>45000.0</v>
      </c>
      <c r="G7" s="17">
        <v>33750.0</v>
      </c>
      <c r="H7" s="27"/>
      <c r="I7" s="27"/>
    </row>
    <row r="8">
      <c r="B8" s="20" t="s">
        <v>19</v>
      </c>
      <c r="C8" s="2"/>
      <c r="D8" s="3"/>
      <c r="E8" s="21">
        <f t="shared" ref="E8:G8" si="1">SUM(E6:E7)</f>
        <v>157500</v>
      </c>
      <c r="F8" s="21">
        <f t="shared" si="1"/>
        <v>90000</v>
      </c>
      <c r="G8" s="22">
        <f t="shared" si="1"/>
        <v>67500</v>
      </c>
      <c r="H8" s="62"/>
      <c r="I8" s="23" t="s">
        <v>20</v>
      </c>
    </row>
    <row r="9">
      <c r="B9" s="20" t="s">
        <v>218</v>
      </c>
      <c r="C9" s="2"/>
      <c r="D9" s="3"/>
      <c r="E9" s="21"/>
      <c r="F9" s="21">
        <f>SUM(F8)</f>
        <v>90000</v>
      </c>
      <c r="G9" s="21"/>
      <c r="H9" s="26"/>
      <c r="I9" s="5"/>
    </row>
    <row r="10">
      <c r="B10" s="19"/>
      <c r="D10" s="18"/>
      <c r="G10" s="5"/>
      <c r="H10" s="5"/>
      <c r="I10" s="5"/>
    </row>
    <row r="11">
      <c r="B11" s="5"/>
      <c r="C11" s="5"/>
      <c r="D11" s="5"/>
      <c r="G11" s="5"/>
      <c r="H11" s="5"/>
      <c r="I11" s="5"/>
    </row>
    <row r="12">
      <c r="B12" s="1" t="s">
        <v>0</v>
      </c>
      <c r="C12" s="2"/>
      <c r="D12" s="3"/>
      <c r="E12" s="4"/>
      <c r="F12" s="4"/>
      <c r="G12" s="4"/>
      <c r="H12" s="60"/>
      <c r="I12" s="10"/>
    </row>
    <row r="13">
      <c r="B13" s="6" t="s">
        <v>249</v>
      </c>
      <c r="C13" s="2"/>
      <c r="D13" s="3"/>
      <c r="E13" s="7"/>
      <c r="F13" s="7"/>
      <c r="G13" s="7"/>
      <c r="H13" s="60"/>
      <c r="I13" s="13"/>
    </row>
    <row r="14">
      <c r="B14" s="8" t="s">
        <v>22</v>
      </c>
      <c r="C14" s="2"/>
      <c r="D14" s="3"/>
      <c r="E14" s="9"/>
      <c r="F14" s="9"/>
      <c r="G14" s="9"/>
      <c r="H14" s="60"/>
      <c r="I14" s="27"/>
    </row>
    <row r="15">
      <c r="B15" s="11" t="s">
        <v>3</v>
      </c>
      <c r="C15" s="11" t="s">
        <v>4</v>
      </c>
      <c r="D15" s="11" t="s">
        <v>5</v>
      </c>
      <c r="E15" s="11" t="s">
        <v>6</v>
      </c>
      <c r="F15" s="11" t="s">
        <v>7</v>
      </c>
      <c r="G15" s="12" t="s">
        <v>8</v>
      </c>
      <c r="H15" s="61"/>
      <c r="I15" s="26"/>
    </row>
    <row r="16">
      <c r="B16" s="14" t="s">
        <v>252</v>
      </c>
      <c r="C16" s="15">
        <v>332.0</v>
      </c>
      <c r="D16" s="16" t="s">
        <v>253</v>
      </c>
      <c r="E16" s="17">
        <v>96250.0</v>
      </c>
      <c r="F16" s="17">
        <v>55000.0</v>
      </c>
      <c r="G16" s="17">
        <v>41250.0</v>
      </c>
      <c r="H16" s="27"/>
    </row>
    <row r="17">
      <c r="B17" s="14" t="s">
        <v>47</v>
      </c>
      <c r="C17" s="15">
        <v>335.0</v>
      </c>
      <c r="D17" s="16" t="s">
        <v>254</v>
      </c>
      <c r="E17" s="17">
        <v>21000.0</v>
      </c>
      <c r="F17" s="17">
        <v>12000.0</v>
      </c>
      <c r="G17" s="17">
        <v>9000.0</v>
      </c>
      <c r="H17" s="27"/>
    </row>
    <row r="18">
      <c r="B18" s="14" t="s">
        <v>192</v>
      </c>
      <c r="C18" s="15">
        <v>363.0</v>
      </c>
      <c r="D18" s="16" t="s">
        <v>251</v>
      </c>
      <c r="E18" s="17">
        <v>78750.0</v>
      </c>
      <c r="F18" s="17">
        <v>45000.0</v>
      </c>
      <c r="G18" s="17">
        <v>33750.0</v>
      </c>
      <c r="H18" s="27"/>
      <c r="I18" s="26"/>
    </row>
    <row r="19" ht="15.0" customHeight="1">
      <c r="B19" s="14" t="s">
        <v>60</v>
      </c>
      <c r="C19" s="15">
        <v>340.0</v>
      </c>
      <c r="D19" s="16" t="s">
        <v>255</v>
      </c>
      <c r="E19" s="17">
        <v>157500.0</v>
      </c>
      <c r="F19" s="17">
        <v>90000.0</v>
      </c>
      <c r="G19" s="17">
        <v>67500.0</v>
      </c>
      <c r="H19" s="27"/>
      <c r="I19" s="5"/>
    </row>
    <row r="20">
      <c r="B20" s="20" t="s">
        <v>218</v>
      </c>
      <c r="C20" s="2"/>
      <c r="D20" s="3"/>
      <c r="E20" s="21">
        <f t="shared" ref="E20:G20" si="2">SUM(E16:E19)</f>
        <v>353500</v>
      </c>
      <c r="F20" s="21">
        <f t="shared" si="2"/>
        <v>202000</v>
      </c>
      <c r="G20" s="22">
        <f t="shared" si="2"/>
        <v>151500</v>
      </c>
      <c r="H20" s="62"/>
      <c r="I20" s="23" t="s">
        <v>20</v>
      </c>
    </row>
    <row r="21">
      <c r="B21" s="10"/>
      <c r="C21" s="10"/>
      <c r="D21" s="10"/>
      <c r="G21" s="10"/>
      <c r="H21" s="10"/>
      <c r="I21" s="10"/>
    </row>
    <row r="22" ht="15.75" customHeight="1">
      <c r="B22" s="13"/>
      <c r="C22" s="13"/>
      <c r="D22" s="13"/>
      <c r="G22" s="13"/>
      <c r="H22" s="13"/>
      <c r="I22" s="13"/>
    </row>
    <row r="23" ht="15.75" customHeight="1">
      <c r="B23" s="1" t="s">
        <v>0</v>
      </c>
      <c r="C23" s="2"/>
      <c r="D23" s="2"/>
      <c r="E23" s="2"/>
      <c r="F23" s="2"/>
      <c r="G23" s="3"/>
      <c r="H23" s="63"/>
      <c r="I23" s="27"/>
    </row>
    <row r="24" ht="15.75" customHeight="1">
      <c r="B24" s="6" t="s">
        <v>249</v>
      </c>
      <c r="C24" s="2"/>
      <c r="D24" s="2"/>
      <c r="E24" s="2"/>
      <c r="F24" s="2"/>
      <c r="G24" s="3"/>
      <c r="H24" s="64"/>
      <c r="I24" s="26"/>
    </row>
    <row r="25" ht="15.75" customHeight="1">
      <c r="B25" s="8" t="s">
        <v>64</v>
      </c>
      <c r="C25" s="2"/>
      <c r="D25" s="2"/>
      <c r="E25" s="2"/>
      <c r="F25" s="2"/>
      <c r="G25" s="3"/>
      <c r="H25" s="65"/>
    </row>
    <row r="26" ht="15.75" customHeight="1">
      <c r="B26" s="47" t="s">
        <v>3</v>
      </c>
      <c r="C26" s="47" t="s">
        <v>4</v>
      </c>
      <c r="D26" s="47" t="s">
        <v>5</v>
      </c>
      <c r="E26" s="47" t="s">
        <v>6</v>
      </c>
      <c r="F26" s="47" t="s">
        <v>7</v>
      </c>
      <c r="G26" s="48" t="s">
        <v>8</v>
      </c>
      <c r="H26" s="61"/>
    </row>
    <row r="27" ht="15.75" customHeight="1">
      <c r="B27" s="14" t="s">
        <v>256</v>
      </c>
      <c r="C27" s="15">
        <v>333.0</v>
      </c>
      <c r="D27" s="16" t="s">
        <v>257</v>
      </c>
      <c r="E27" s="17">
        <v>192500.0</v>
      </c>
      <c r="F27" s="17">
        <v>110000.0</v>
      </c>
      <c r="G27" s="17">
        <v>82500.0</v>
      </c>
      <c r="H27" s="27"/>
    </row>
    <row r="28" ht="15.75" customHeight="1">
      <c r="B28" s="14" t="s">
        <v>91</v>
      </c>
      <c r="C28" s="15">
        <v>367.0</v>
      </c>
      <c r="D28" s="16" t="s">
        <v>258</v>
      </c>
      <c r="E28" s="17">
        <v>173250.0</v>
      </c>
      <c r="F28" s="17">
        <v>99000.0</v>
      </c>
      <c r="G28" s="17">
        <v>74250.0</v>
      </c>
      <c r="H28" s="27"/>
    </row>
    <row r="29" ht="15.75" customHeight="1">
      <c r="B29" s="14" t="s">
        <v>91</v>
      </c>
      <c r="C29" s="15">
        <v>363.0</v>
      </c>
      <c r="D29" s="16" t="s">
        <v>259</v>
      </c>
      <c r="E29" s="17">
        <v>78750.0</v>
      </c>
      <c r="F29" s="17">
        <v>45000.0</v>
      </c>
      <c r="G29" s="17">
        <v>33750.0</v>
      </c>
      <c r="H29" s="27"/>
    </row>
    <row r="30" ht="15.75" customHeight="1">
      <c r="B30" s="14" t="s">
        <v>91</v>
      </c>
      <c r="C30" s="15">
        <v>363.0</v>
      </c>
      <c r="D30" s="16" t="s">
        <v>259</v>
      </c>
      <c r="E30" s="17">
        <v>78750.0</v>
      </c>
      <c r="F30" s="17">
        <v>45000.0</v>
      </c>
      <c r="G30" s="17">
        <v>33750.0</v>
      </c>
      <c r="H30" s="27"/>
      <c r="I30" s="5"/>
      <c r="J30" s="5"/>
      <c r="K30" s="5"/>
    </row>
    <row r="31" ht="15.75" customHeight="1">
      <c r="B31" s="20" t="s">
        <v>19</v>
      </c>
      <c r="C31" s="2"/>
      <c r="D31" s="3"/>
      <c r="E31" s="21">
        <f t="shared" ref="E31:G31" si="3">SUM(E27:E30)</f>
        <v>523250</v>
      </c>
      <c r="F31" s="21">
        <f t="shared" si="3"/>
        <v>299000</v>
      </c>
      <c r="G31" s="22">
        <f t="shared" si="3"/>
        <v>224250</v>
      </c>
      <c r="H31" s="62"/>
      <c r="I31" s="23" t="s">
        <v>20</v>
      </c>
      <c r="J31" s="5"/>
      <c r="K31" s="5"/>
    </row>
    <row r="32" ht="15.75" customHeight="1">
      <c r="B32" s="20" t="s">
        <v>218</v>
      </c>
      <c r="C32" s="2"/>
      <c r="D32" s="3"/>
      <c r="E32" s="21"/>
      <c r="F32" s="21">
        <f>SUM(F31)</f>
        <v>299000</v>
      </c>
      <c r="G32" s="21"/>
      <c r="H32" s="26"/>
      <c r="I32" s="10"/>
      <c r="J32" s="10"/>
      <c r="K32" s="10"/>
    </row>
    <row r="33" ht="15.75" customHeight="1">
      <c r="B33" s="13"/>
      <c r="C33" s="13"/>
      <c r="D33" s="13"/>
      <c r="I33" s="10"/>
      <c r="J33" s="10"/>
      <c r="K33" s="10"/>
    </row>
    <row r="34" ht="15.75" customHeight="1">
      <c r="B34" s="19"/>
      <c r="D34" s="27"/>
      <c r="I34" s="13"/>
      <c r="J34" s="13"/>
      <c r="K34" s="13"/>
    </row>
    <row r="35" ht="15.75" customHeight="1">
      <c r="B35" s="1" t="s">
        <v>0</v>
      </c>
      <c r="C35" s="2"/>
      <c r="D35" s="3"/>
      <c r="E35" s="28"/>
      <c r="F35" s="28"/>
      <c r="G35" s="28"/>
      <c r="H35" s="63"/>
      <c r="I35" s="19"/>
      <c r="K35" s="27"/>
    </row>
    <row r="36" ht="15.75" customHeight="1">
      <c r="B36" s="6" t="s">
        <v>249</v>
      </c>
      <c r="C36" s="2"/>
      <c r="D36" s="3"/>
      <c r="E36" s="7"/>
      <c r="F36" s="7"/>
      <c r="G36" s="7"/>
      <c r="H36" s="63"/>
      <c r="I36" s="5"/>
      <c r="J36" s="5"/>
      <c r="K36" s="26"/>
    </row>
    <row r="37" ht="15.75" customHeight="1">
      <c r="B37" s="8" t="s">
        <v>101</v>
      </c>
      <c r="C37" s="2"/>
      <c r="D37" s="3"/>
      <c r="E37" s="9"/>
      <c r="F37" s="9"/>
      <c r="G37" s="9"/>
      <c r="H37" s="63"/>
      <c r="I37" s="5"/>
      <c r="J37" s="5"/>
      <c r="K37" s="26"/>
    </row>
    <row r="38" ht="15.75" customHeight="1">
      <c r="B38" s="47" t="s">
        <v>3</v>
      </c>
      <c r="C38" s="47" t="s">
        <v>4</v>
      </c>
      <c r="D38" s="47" t="s">
        <v>5</v>
      </c>
      <c r="E38" s="47" t="s">
        <v>6</v>
      </c>
      <c r="F38" s="47" t="s">
        <v>7</v>
      </c>
      <c r="G38" s="48" t="s">
        <v>8</v>
      </c>
      <c r="H38" s="61"/>
    </row>
    <row r="39" ht="15.75" customHeight="1">
      <c r="B39" s="14" t="s">
        <v>202</v>
      </c>
      <c r="C39" s="15">
        <v>362.0</v>
      </c>
      <c r="D39" s="16" t="s">
        <v>260</v>
      </c>
      <c r="E39" s="17">
        <v>61250.0</v>
      </c>
      <c r="F39" s="17">
        <v>35000.0</v>
      </c>
      <c r="G39" s="17">
        <v>26250.0</v>
      </c>
      <c r="H39" s="27"/>
    </row>
    <row r="40" ht="15.75" customHeight="1">
      <c r="B40" s="14" t="s">
        <v>205</v>
      </c>
      <c r="C40" s="15">
        <v>362.0</v>
      </c>
      <c r="D40" s="16" t="s">
        <v>260</v>
      </c>
      <c r="E40" s="17">
        <v>61250.0</v>
      </c>
      <c r="F40" s="17">
        <v>35000.0</v>
      </c>
      <c r="G40" s="17">
        <v>26250.0</v>
      </c>
      <c r="H40" s="27"/>
    </row>
    <row r="41" ht="15.75" customHeight="1">
      <c r="B41" s="20" t="s">
        <v>19</v>
      </c>
      <c r="C41" s="2"/>
      <c r="D41" s="3"/>
      <c r="E41" s="21">
        <f t="shared" ref="E41:G41" si="4">SUM(E37:E40)</f>
        <v>122500</v>
      </c>
      <c r="F41" s="21">
        <f t="shared" si="4"/>
        <v>70000</v>
      </c>
      <c r="G41" s="22">
        <f t="shared" si="4"/>
        <v>52500</v>
      </c>
      <c r="H41" s="62"/>
      <c r="I41" s="23" t="s">
        <v>20</v>
      </c>
    </row>
    <row r="42" ht="15.75" customHeight="1">
      <c r="B42" s="20" t="s">
        <v>218</v>
      </c>
      <c r="C42" s="2"/>
      <c r="D42" s="3"/>
      <c r="E42" s="21"/>
      <c r="F42" s="21">
        <f>SUM(F41)</f>
        <v>70000</v>
      </c>
      <c r="G42" s="21"/>
      <c r="H42" s="26"/>
    </row>
    <row r="43" ht="15.75" customHeight="1">
      <c r="B43" s="5"/>
      <c r="C43" s="5"/>
      <c r="D43" s="5"/>
    </row>
    <row r="44" ht="15.75" customHeight="1">
      <c r="B44" s="5"/>
      <c r="C44" s="5"/>
      <c r="D44" s="5"/>
    </row>
    <row r="45" ht="15.75" customHeight="1">
      <c r="B45" s="1" t="s">
        <v>0</v>
      </c>
      <c r="C45" s="2"/>
      <c r="D45" s="3"/>
      <c r="E45" s="28"/>
      <c r="F45" s="28"/>
      <c r="G45" s="28"/>
      <c r="H45" s="63"/>
    </row>
    <row r="46" ht="15.75" customHeight="1">
      <c r="B46" s="6" t="s">
        <v>249</v>
      </c>
      <c r="C46" s="2"/>
      <c r="D46" s="3"/>
      <c r="E46" s="7"/>
      <c r="F46" s="7"/>
      <c r="G46" s="7"/>
      <c r="H46" s="63"/>
    </row>
    <row r="47" ht="15.75" customHeight="1">
      <c r="B47" s="8" t="s">
        <v>126</v>
      </c>
      <c r="C47" s="2"/>
      <c r="D47" s="3"/>
      <c r="E47" s="9"/>
      <c r="F47" s="9"/>
      <c r="G47" s="9"/>
      <c r="H47" s="63"/>
    </row>
    <row r="48" ht="15.75" customHeight="1">
      <c r="B48" s="47" t="s">
        <v>3</v>
      </c>
      <c r="C48" s="47" t="s">
        <v>4</v>
      </c>
      <c r="D48" s="47" t="s">
        <v>5</v>
      </c>
      <c r="E48" s="47" t="s">
        <v>6</v>
      </c>
      <c r="F48" s="47" t="s">
        <v>7</v>
      </c>
      <c r="G48" s="48" t="s">
        <v>8</v>
      </c>
      <c r="H48" s="61"/>
    </row>
    <row r="49" ht="15.75" customHeight="1">
      <c r="B49" s="14" t="s">
        <v>131</v>
      </c>
      <c r="C49" s="15">
        <v>339.0</v>
      </c>
      <c r="D49" s="16" t="s">
        <v>261</v>
      </c>
      <c r="E49" s="17">
        <v>70000.0</v>
      </c>
      <c r="F49" s="17">
        <v>40000.0</v>
      </c>
      <c r="G49" s="17">
        <v>30000.0</v>
      </c>
      <c r="H49" s="27"/>
    </row>
    <row r="50" ht="15.75" customHeight="1">
      <c r="B50" s="14" t="s">
        <v>131</v>
      </c>
      <c r="C50" s="15">
        <v>362.0</v>
      </c>
      <c r="D50" s="16" t="s">
        <v>260</v>
      </c>
      <c r="E50" s="17">
        <v>61250.0</v>
      </c>
      <c r="F50" s="17">
        <v>35000.0</v>
      </c>
      <c r="G50" s="17">
        <v>26250.0</v>
      </c>
      <c r="H50" s="27"/>
    </row>
    <row r="51" ht="15.75" customHeight="1">
      <c r="B51" s="14" t="s">
        <v>140</v>
      </c>
      <c r="C51" s="15">
        <v>340.0</v>
      </c>
      <c r="D51" s="16" t="s">
        <v>255</v>
      </c>
      <c r="E51" s="17">
        <v>157500.0</v>
      </c>
      <c r="F51" s="17">
        <v>90000.0</v>
      </c>
      <c r="G51" s="17">
        <v>67500.0</v>
      </c>
      <c r="H51" s="27"/>
    </row>
    <row r="52" ht="15.75" customHeight="1">
      <c r="B52" s="14" t="s">
        <v>142</v>
      </c>
      <c r="C52" s="15">
        <v>355.0</v>
      </c>
      <c r="D52" s="16" t="s">
        <v>262</v>
      </c>
      <c r="E52" s="17">
        <v>96250.0</v>
      </c>
      <c r="F52" s="17">
        <v>55000.0</v>
      </c>
      <c r="G52" s="17">
        <v>41250.0</v>
      </c>
      <c r="H52" s="27"/>
    </row>
    <row r="53" ht="15.75" customHeight="1">
      <c r="B53" s="14" t="s">
        <v>247</v>
      </c>
      <c r="C53" s="15">
        <v>336.0</v>
      </c>
      <c r="D53" s="16" t="s">
        <v>263</v>
      </c>
      <c r="E53" s="17">
        <v>13000.0</v>
      </c>
      <c r="F53" s="17">
        <v>7000.0</v>
      </c>
      <c r="G53" s="17">
        <v>6000.0</v>
      </c>
      <c r="H53" s="27"/>
    </row>
    <row r="54" ht="15.75" customHeight="1">
      <c r="B54" s="14" t="s">
        <v>247</v>
      </c>
      <c r="C54" s="15">
        <v>343.0</v>
      </c>
      <c r="D54" s="16" t="s">
        <v>264</v>
      </c>
      <c r="E54" s="17">
        <v>20750.0</v>
      </c>
      <c r="F54" s="17">
        <v>20000.0</v>
      </c>
      <c r="G54" s="17">
        <v>750.0</v>
      </c>
      <c r="H54" s="27"/>
    </row>
    <row r="55" ht="15.75" customHeight="1">
      <c r="B55" s="20" t="s">
        <v>19</v>
      </c>
      <c r="C55" s="2"/>
      <c r="D55" s="3"/>
      <c r="E55" s="21">
        <f t="shared" ref="E55:G55" si="5">SUM(E49:E54)</f>
        <v>418750</v>
      </c>
      <c r="F55" s="21">
        <f t="shared" si="5"/>
        <v>247000</v>
      </c>
      <c r="G55" s="22">
        <f t="shared" si="5"/>
        <v>171750</v>
      </c>
      <c r="H55" s="23" t="s">
        <v>20</v>
      </c>
      <c r="I55" s="23"/>
    </row>
    <row r="56" ht="15.75" customHeight="1">
      <c r="B56" s="20" t="s">
        <v>218</v>
      </c>
      <c r="C56" s="2"/>
      <c r="D56" s="3"/>
      <c r="E56" s="21"/>
      <c r="F56" s="21">
        <f>SUM(F55)</f>
        <v>247000</v>
      </c>
      <c r="G56" s="21"/>
      <c r="H56" s="26"/>
    </row>
    <row r="57" ht="15.75" customHeight="1">
      <c r="B57" s="13"/>
      <c r="C57" s="13"/>
      <c r="D57" s="13"/>
    </row>
    <row r="58" ht="15.75" customHeight="1">
      <c r="B58" s="19"/>
      <c r="D58" s="27"/>
    </row>
    <row r="59" ht="15.75" customHeight="1">
      <c r="B59" s="1" t="s">
        <v>0</v>
      </c>
      <c r="C59" s="2"/>
      <c r="D59" s="3"/>
      <c r="E59" s="28"/>
      <c r="F59" s="28"/>
      <c r="G59" s="28"/>
    </row>
    <row r="60" ht="15.75" customHeight="1">
      <c r="B60" s="6" t="s">
        <v>249</v>
      </c>
      <c r="C60" s="2"/>
      <c r="D60" s="3"/>
      <c r="E60" s="7"/>
      <c r="F60" s="7"/>
      <c r="G60" s="7"/>
    </row>
    <row r="61" ht="15.75" customHeight="1">
      <c r="B61" s="8" t="s">
        <v>157</v>
      </c>
      <c r="C61" s="2"/>
      <c r="D61" s="3"/>
      <c r="E61" s="9"/>
      <c r="F61" s="9"/>
      <c r="G61" s="9"/>
    </row>
    <row r="62" ht="15.75" customHeight="1">
      <c r="B62" s="47" t="s">
        <v>3</v>
      </c>
      <c r="C62" s="47" t="s">
        <v>4</v>
      </c>
      <c r="D62" s="47" t="s">
        <v>5</v>
      </c>
      <c r="E62" s="47" t="s">
        <v>6</v>
      </c>
      <c r="F62" s="47" t="s">
        <v>7</v>
      </c>
      <c r="G62" s="48" t="s">
        <v>8</v>
      </c>
    </row>
    <row r="63" ht="15.75" customHeight="1">
      <c r="B63" s="14" t="s">
        <v>161</v>
      </c>
      <c r="C63" s="15">
        <v>367.0</v>
      </c>
      <c r="D63" s="16" t="s">
        <v>265</v>
      </c>
      <c r="E63" s="17">
        <v>173250.0</v>
      </c>
      <c r="F63" s="17">
        <v>99000.0</v>
      </c>
      <c r="G63" s="17">
        <v>74250.0</v>
      </c>
    </row>
    <row r="64" ht="15.75" customHeight="1">
      <c r="B64" s="14" t="s">
        <v>163</v>
      </c>
      <c r="C64" s="15">
        <v>352.0</v>
      </c>
      <c r="D64" s="16" t="s">
        <v>266</v>
      </c>
      <c r="E64" s="17">
        <v>70000.0</v>
      </c>
      <c r="F64" s="17">
        <v>40000.0</v>
      </c>
      <c r="G64" s="17">
        <v>30000.0</v>
      </c>
    </row>
    <row r="65" ht="15.75" customHeight="1">
      <c r="B65" s="20" t="s">
        <v>19</v>
      </c>
      <c r="C65" s="2"/>
      <c r="D65" s="3"/>
      <c r="E65" s="21">
        <f t="shared" ref="E65:G65" si="6">SUM(E63:E64)</f>
        <v>243250</v>
      </c>
      <c r="F65" s="21">
        <f t="shared" si="6"/>
        <v>139000</v>
      </c>
      <c r="G65" s="22">
        <f t="shared" si="6"/>
        <v>104250</v>
      </c>
      <c r="H65" s="23" t="s">
        <v>20</v>
      </c>
    </row>
    <row r="66" ht="15.75" customHeight="1">
      <c r="B66" s="20" t="s">
        <v>218</v>
      </c>
      <c r="C66" s="2"/>
      <c r="D66" s="3"/>
      <c r="E66" s="21"/>
      <c r="F66" s="21">
        <f>SUM(F65)</f>
        <v>139000</v>
      </c>
      <c r="G66" s="21"/>
    </row>
    <row r="67" ht="15.75" customHeight="1">
      <c r="B67" s="19"/>
      <c r="D67" s="27"/>
    </row>
    <row r="68" ht="15.75" customHeight="1">
      <c r="B68" s="19"/>
      <c r="D68" s="27"/>
    </row>
    <row r="69" ht="15.75" customHeight="1">
      <c r="B69" s="10"/>
      <c r="C69" s="10"/>
      <c r="D69" s="26"/>
    </row>
    <row r="70" ht="15.75" customHeight="1">
      <c r="B70" s="19"/>
      <c r="D70" s="27"/>
    </row>
    <row r="71" ht="15.75" customHeight="1">
      <c r="B71" s="19"/>
      <c r="D71" s="27"/>
    </row>
    <row r="72" ht="15.75" customHeight="1">
      <c r="B72" s="5"/>
      <c r="C72" s="5"/>
      <c r="D72" s="5"/>
    </row>
    <row r="73" ht="15.75" customHeight="1">
      <c r="B73" s="5"/>
      <c r="C73" s="5"/>
      <c r="D73" s="5"/>
    </row>
    <row r="74" ht="15.75" customHeight="1">
      <c r="B74" s="10"/>
      <c r="C74" s="10"/>
      <c r="D74" s="10"/>
    </row>
    <row r="75" ht="15.75" customHeight="1">
      <c r="B75" s="13"/>
      <c r="C75" s="13"/>
      <c r="D75" s="13"/>
    </row>
    <row r="76" ht="15.75" customHeight="1">
      <c r="B76" s="19"/>
      <c r="D76" s="27"/>
    </row>
    <row r="77" ht="15.75" customHeight="1">
      <c r="B77" s="10"/>
      <c r="C77" s="10"/>
      <c r="D77" s="26"/>
    </row>
    <row r="78" ht="15.75" customHeight="1">
      <c r="B78" s="19"/>
      <c r="D78" s="27"/>
    </row>
    <row r="79" ht="15.75" customHeight="1">
      <c r="B79" s="19"/>
      <c r="D79" s="27"/>
    </row>
    <row r="80" ht="15.75" customHeight="1">
      <c r="B80" s="5"/>
      <c r="C80" s="5"/>
      <c r="D80" s="5"/>
    </row>
    <row r="81" ht="15.75" customHeight="1">
      <c r="B81" s="5"/>
      <c r="C81" s="5"/>
      <c r="D81" s="5"/>
    </row>
    <row r="82" ht="15.75" customHeight="1">
      <c r="B82" s="10"/>
      <c r="C82" s="10"/>
      <c r="D82" s="10"/>
    </row>
    <row r="83" ht="15.75" customHeight="1">
      <c r="B83" s="13"/>
      <c r="C83" s="13"/>
      <c r="D83" s="13"/>
    </row>
    <row r="84" ht="15.75" customHeight="1">
      <c r="B84" s="19"/>
      <c r="D84" s="27"/>
    </row>
    <row r="85" ht="15.75" customHeight="1">
      <c r="B85" s="10"/>
      <c r="C85" s="10"/>
      <c r="D85" s="26"/>
    </row>
    <row r="86" ht="15.75" customHeight="1"/>
    <row r="87" ht="15.75" customHeight="1"/>
    <row r="88" ht="15.75" customHeight="1">
      <c r="B88" s="5"/>
      <c r="C88" s="5"/>
      <c r="D88" s="5"/>
    </row>
    <row r="89" ht="15.75" customHeight="1">
      <c r="B89" s="5"/>
      <c r="C89" s="5"/>
      <c r="D89" s="5"/>
    </row>
    <row r="90" ht="15.75" customHeight="1">
      <c r="B90" s="10"/>
      <c r="C90" s="10"/>
      <c r="D90" s="10"/>
    </row>
    <row r="91" ht="15.75" customHeight="1">
      <c r="B91" s="13"/>
      <c r="C91" s="13"/>
      <c r="D91" s="13"/>
    </row>
    <row r="92" ht="15.75" customHeight="1">
      <c r="B92" s="19"/>
      <c r="D92" s="27"/>
    </row>
    <row r="93" ht="15.75" customHeight="1">
      <c r="B93" s="19"/>
      <c r="D93" s="27"/>
    </row>
    <row r="94" ht="15.75" customHeight="1">
      <c r="B94" s="19"/>
      <c r="D94" s="27"/>
    </row>
    <row r="95" ht="15.75" customHeight="1">
      <c r="B95" s="19"/>
      <c r="D95" s="27"/>
    </row>
    <row r="96" ht="15.75" customHeight="1">
      <c r="B96" s="19"/>
      <c r="D96" s="27"/>
    </row>
    <row r="97" ht="15.75" customHeight="1">
      <c r="B97" s="19"/>
      <c r="D97" s="27"/>
    </row>
    <row r="98" ht="15.75" customHeight="1">
      <c r="B98" s="10"/>
      <c r="C98" s="10"/>
      <c r="D98" s="26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4">
    <mergeCell ref="B2:D2"/>
    <mergeCell ref="E2:E4"/>
    <mergeCell ref="F2:F4"/>
    <mergeCell ref="G2:G4"/>
    <mergeCell ref="B3:D3"/>
    <mergeCell ref="B4:D4"/>
    <mergeCell ref="B8:D8"/>
    <mergeCell ref="B9:D9"/>
    <mergeCell ref="B12:D12"/>
    <mergeCell ref="E12:E14"/>
    <mergeCell ref="F12:F14"/>
    <mergeCell ref="G12:G14"/>
    <mergeCell ref="B13:D13"/>
    <mergeCell ref="B14:D14"/>
    <mergeCell ref="E35:E37"/>
    <mergeCell ref="F35:F37"/>
    <mergeCell ref="G35:G37"/>
    <mergeCell ref="B20:D20"/>
    <mergeCell ref="B23:G23"/>
    <mergeCell ref="B24:G24"/>
    <mergeCell ref="B25:G25"/>
    <mergeCell ref="B31:D31"/>
    <mergeCell ref="B32:D32"/>
    <mergeCell ref="B35:D35"/>
    <mergeCell ref="B36:D36"/>
    <mergeCell ref="B37:D37"/>
    <mergeCell ref="B41:D41"/>
    <mergeCell ref="B42:D42"/>
    <mergeCell ref="E45:E47"/>
    <mergeCell ref="F45:F47"/>
    <mergeCell ref="G45:G47"/>
    <mergeCell ref="B47:D47"/>
    <mergeCell ref="B59:D59"/>
    <mergeCell ref="B60:D60"/>
    <mergeCell ref="B65:D65"/>
    <mergeCell ref="B66:D66"/>
    <mergeCell ref="B45:D45"/>
    <mergeCell ref="B46:D46"/>
    <mergeCell ref="B55:D55"/>
    <mergeCell ref="B56:D56"/>
    <mergeCell ref="E59:E61"/>
    <mergeCell ref="F59:F61"/>
    <mergeCell ref="G59:G61"/>
    <mergeCell ref="B61:D6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7.0"/>
    <col customWidth="1" min="4" max="4" width="24.71"/>
    <col customWidth="1" min="5" max="5" width="16.29"/>
    <col customWidth="1" min="6" max="6" width="21.14"/>
    <col customWidth="1" min="7" max="7" width="21.57"/>
    <col customWidth="1" min="8" max="8" width="16.71"/>
    <col customWidth="1" min="9" max="9" width="10.71"/>
    <col customWidth="1" min="10" max="10" width="14.14"/>
    <col customWidth="1" min="11" max="11" width="27.0"/>
    <col customWidth="1" min="12" max="12" width="17.0"/>
    <col customWidth="1" min="13" max="14" width="10.71"/>
    <col customWidth="1" min="15" max="15" width="30.14"/>
    <col customWidth="1" min="16" max="16" width="17.86"/>
    <col customWidth="1" min="17" max="18" width="10.71"/>
    <col customWidth="1" min="19" max="19" width="23.0"/>
    <col customWidth="1" min="20" max="20" width="17.57"/>
    <col customWidth="1" min="21" max="26" width="10.71"/>
  </cols>
  <sheetData>
    <row r="2">
      <c r="B2" s="1" t="s">
        <v>0</v>
      </c>
      <c r="C2" s="2"/>
      <c r="D2" s="3"/>
      <c r="E2" s="4"/>
      <c r="F2" s="4"/>
      <c r="G2" s="4"/>
      <c r="H2" s="5"/>
      <c r="J2" s="5"/>
      <c r="K2" s="5"/>
      <c r="L2" s="5"/>
      <c r="N2" s="5"/>
      <c r="O2" s="5"/>
      <c r="P2" s="5"/>
      <c r="R2" s="5"/>
      <c r="S2" s="5"/>
      <c r="T2" s="5"/>
    </row>
    <row r="3">
      <c r="B3" s="66" t="s">
        <v>267</v>
      </c>
      <c r="C3" s="66"/>
      <c r="D3" s="66"/>
      <c r="E3" s="7"/>
      <c r="F3" s="7"/>
      <c r="G3" s="7"/>
      <c r="H3" s="5"/>
      <c r="J3" s="5"/>
      <c r="K3" s="5"/>
      <c r="L3" s="5"/>
      <c r="N3" s="5"/>
      <c r="O3" s="5"/>
      <c r="P3" s="5"/>
      <c r="R3" s="5"/>
      <c r="S3" s="5"/>
      <c r="T3" s="5"/>
    </row>
    <row r="4">
      <c r="B4" s="56" t="s">
        <v>2</v>
      </c>
      <c r="C4" s="56"/>
      <c r="D4" s="56"/>
      <c r="E4" s="9"/>
      <c r="F4" s="9"/>
      <c r="G4" s="9"/>
      <c r="H4" s="10"/>
      <c r="J4" s="10"/>
      <c r="K4" s="10"/>
      <c r="L4" s="10"/>
      <c r="N4" s="10"/>
      <c r="O4" s="10"/>
      <c r="P4" s="10"/>
      <c r="R4" s="10"/>
      <c r="S4" s="10"/>
      <c r="T4" s="10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  <c r="H5" s="13"/>
      <c r="J5" s="13"/>
      <c r="K5" s="13"/>
      <c r="L5" s="13"/>
      <c r="N5" s="13"/>
      <c r="O5" s="13"/>
      <c r="P5" s="13"/>
      <c r="R5" s="13"/>
      <c r="S5" s="13"/>
      <c r="T5" s="13"/>
    </row>
    <row r="6">
      <c r="B6" s="14" t="s">
        <v>9</v>
      </c>
      <c r="C6" s="15">
        <v>813.0</v>
      </c>
      <c r="D6" s="16" t="s">
        <v>268</v>
      </c>
      <c r="E6" s="17">
        <v>110250.0</v>
      </c>
      <c r="F6" s="17">
        <v>70000.0</v>
      </c>
      <c r="G6" s="17">
        <v>40250.0</v>
      </c>
      <c r="H6" s="27"/>
      <c r="J6" s="19"/>
      <c r="L6" s="27"/>
      <c r="N6" s="19"/>
      <c r="P6" s="27"/>
      <c r="R6" s="19"/>
      <c r="T6" s="27"/>
    </row>
    <row r="7">
      <c r="B7" s="14" t="s">
        <v>178</v>
      </c>
      <c r="C7" s="15">
        <v>813.0</v>
      </c>
      <c r="D7" s="16" t="s">
        <v>268</v>
      </c>
      <c r="E7" s="17">
        <v>98000.0</v>
      </c>
      <c r="F7" s="17">
        <v>70000.0</v>
      </c>
      <c r="G7" s="17">
        <v>28000.0</v>
      </c>
      <c r="H7" s="27"/>
      <c r="J7" s="19"/>
      <c r="L7" s="27"/>
      <c r="N7" s="10"/>
      <c r="O7" s="10"/>
      <c r="P7" s="26"/>
      <c r="R7" s="10"/>
      <c r="S7" s="10"/>
      <c r="T7" s="26"/>
    </row>
    <row r="8">
      <c r="B8" s="20" t="s">
        <v>19</v>
      </c>
      <c r="C8" s="2"/>
      <c r="D8" s="3"/>
      <c r="E8" s="21">
        <f t="shared" ref="E8:G8" si="1">SUM(E6:E7)</f>
        <v>208250</v>
      </c>
      <c r="F8" s="21">
        <f t="shared" si="1"/>
        <v>140000</v>
      </c>
      <c r="G8" s="22">
        <f t="shared" si="1"/>
        <v>68250</v>
      </c>
      <c r="H8" s="23" t="s">
        <v>20</v>
      </c>
      <c r="J8" s="19"/>
      <c r="K8" s="67"/>
      <c r="L8" s="27"/>
      <c r="P8" s="27"/>
    </row>
    <row r="9">
      <c r="B9" s="20" t="s">
        <v>218</v>
      </c>
      <c r="C9" s="2"/>
      <c r="D9" s="3"/>
      <c r="E9" s="21"/>
      <c r="F9" s="21">
        <f>SUM(F8)</f>
        <v>140000</v>
      </c>
      <c r="G9" s="21"/>
      <c r="J9" s="68"/>
      <c r="K9" s="68"/>
      <c r="L9" s="50"/>
      <c r="N9" s="10"/>
      <c r="O9" s="10"/>
      <c r="P9" s="26"/>
    </row>
    <row r="10">
      <c r="B10" s="5"/>
      <c r="C10" s="5"/>
      <c r="D10" s="26"/>
      <c r="J10" s="68"/>
      <c r="K10" s="68"/>
      <c r="L10" s="50"/>
      <c r="N10" s="10"/>
      <c r="O10" s="10"/>
      <c r="P10" s="26"/>
    </row>
    <row r="11">
      <c r="B11" s="5"/>
      <c r="C11" s="5"/>
      <c r="D11" s="5"/>
      <c r="J11" s="68"/>
      <c r="K11" s="68"/>
      <c r="L11" s="50"/>
    </row>
    <row r="12">
      <c r="B12" s="1" t="s">
        <v>0</v>
      </c>
      <c r="C12" s="2"/>
      <c r="D12" s="3"/>
      <c r="E12" s="4"/>
      <c r="F12" s="4"/>
      <c r="G12" s="4"/>
      <c r="J12" s="5"/>
      <c r="K12" s="5"/>
      <c r="L12" s="26"/>
    </row>
    <row r="13">
      <c r="B13" s="6" t="s">
        <v>267</v>
      </c>
      <c r="C13" s="2"/>
      <c r="D13" s="3"/>
      <c r="E13" s="7"/>
      <c r="F13" s="7"/>
      <c r="G13" s="7"/>
    </row>
    <row r="14">
      <c r="B14" s="8" t="s">
        <v>64</v>
      </c>
      <c r="C14" s="2"/>
      <c r="D14" s="3"/>
      <c r="E14" s="9"/>
      <c r="F14" s="9"/>
      <c r="G14" s="9"/>
      <c r="J14" s="5"/>
      <c r="K14" s="5"/>
      <c r="L14" s="5"/>
    </row>
    <row r="15">
      <c r="B15" s="11" t="s">
        <v>3</v>
      </c>
      <c r="C15" s="11" t="s">
        <v>4</v>
      </c>
      <c r="D15" s="11" t="s">
        <v>5</v>
      </c>
      <c r="E15" s="11" t="s">
        <v>6</v>
      </c>
      <c r="F15" s="11" t="s">
        <v>7</v>
      </c>
      <c r="G15" s="12" t="s">
        <v>8</v>
      </c>
      <c r="H15" s="5"/>
      <c r="J15" s="5"/>
      <c r="K15" s="5"/>
      <c r="L15" s="5"/>
    </row>
    <row r="16">
      <c r="B16" s="14" t="s">
        <v>65</v>
      </c>
      <c r="C16" s="15">
        <v>813.0</v>
      </c>
      <c r="D16" s="16" t="s">
        <v>268</v>
      </c>
      <c r="E16" s="17">
        <v>122500.0</v>
      </c>
      <c r="F16" s="17">
        <v>70000.0</v>
      </c>
      <c r="G16" s="17">
        <v>52500.0</v>
      </c>
      <c r="H16" s="5"/>
      <c r="J16" s="5"/>
      <c r="K16" s="5"/>
      <c r="L16" s="5"/>
    </row>
    <row r="17">
      <c r="B17" s="14" t="s">
        <v>269</v>
      </c>
      <c r="C17" s="15">
        <v>813.0</v>
      </c>
      <c r="D17" s="16" t="s">
        <v>268</v>
      </c>
      <c r="E17" s="17">
        <v>122500.0</v>
      </c>
      <c r="F17" s="17">
        <v>70000.0</v>
      </c>
      <c r="G17" s="17">
        <v>52500.0</v>
      </c>
      <c r="H17" s="10"/>
      <c r="J17" s="10"/>
      <c r="K17" s="10"/>
      <c r="L17" s="10"/>
    </row>
    <row r="18">
      <c r="B18" s="20" t="s">
        <v>216</v>
      </c>
      <c r="C18" s="2"/>
      <c r="D18" s="3"/>
      <c r="E18" s="69">
        <f t="shared" ref="E18:G18" si="2">SUM(E16:E17)</f>
        <v>245000</v>
      </c>
      <c r="F18" s="21">
        <f t="shared" si="2"/>
        <v>140000</v>
      </c>
      <c r="G18" s="70">
        <f t="shared" si="2"/>
        <v>105000</v>
      </c>
      <c r="H18" s="23" t="s">
        <v>20</v>
      </c>
      <c r="J18" s="13"/>
      <c r="K18" s="13"/>
      <c r="L18" s="13"/>
    </row>
    <row r="19">
      <c r="B19" s="20" t="s">
        <v>218</v>
      </c>
      <c r="C19" s="2"/>
      <c r="D19" s="3"/>
      <c r="E19" s="69"/>
      <c r="F19" s="21"/>
      <c r="G19" s="69"/>
      <c r="H19" s="27"/>
      <c r="J19" s="19"/>
      <c r="L19" s="27"/>
    </row>
    <row r="20">
      <c r="B20" s="5"/>
      <c r="C20" s="5"/>
      <c r="D20" s="5"/>
      <c r="G20" s="19"/>
      <c r="H20" s="27"/>
      <c r="J20" s="19"/>
      <c r="L20" s="27"/>
    </row>
    <row r="21">
      <c r="B21" s="5"/>
      <c r="C21" s="5"/>
      <c r="D21" s="5"/>
      <c r="G21" s="68"/>
      <c r="H21" s="50"/>
      <c r="J21" s="68"/>
      <c r="K21" s="68"/>
      <c r="L21" s="50"/>
    </row>
    <row r="22">
      <c r="B22" s="1" t="s">
        <v>0</v>
      </c>
      <c r="C22" s="2"/>
      <c r="D22" s="3"/>
      <c r="E22" s="4"/>
      <c r="F22" s="4"/>
      <c r="G22" s="4"/>
      <c r="H22" s="50"/>
      <c r="J22" s="68"/>
      <c r="K22" s="68"/>
      <c r="L22" s="50"/>
    </row>
    <row r="23" ht="15.75" customHeight="1">
      <c r="B23" s="6" t="s">
        <v>267</v>
      </c>
      <c r="C23" s="2"/>
      <c r="D23" s="3"/>
      <c r="E23" s="7"/>
      <c r="F23" s="7"/>
      <c r="G23" s="7"/>
      <c r="H23" s="26"/>
      <c r="J23" s="5"/>
      <c r="K23" s="5"/>
      <c r="L23" s="26"/>
    </row>
    <row r="24" ht="15.75" customHeight="1">
      <c r="B24" s="8" t="s">
        <v>126</v>
      </c>
      <c r="C24" s="2"/>
      <c r="D24" s="3"/>
      <c r="E24" s="9"/>
      <c r="F24" s="9"/>
      <c r="G24" s="9"/>
    </row>
    <row r="25" ht="15.75" customHeight="1">
      <c r="B25" s="11" t="s">
        <v>3</v>
      </c>
      <c r="C25" s="11" t="s">
        <v>4</v>
      </c>
      <c r="D25" s="11" t="s">
        <v>5</v>
      </c>
      <c r="E25" s="11" t="s">
        <v>6</v>
      </c>
      <c r="F25" s="11" t="s">
        <v>7</v>
      </c>
      <c r="G25" s="12" t="s">
        <v>8</v>
      </c>
    </row>
    <row r="26" ht="15.75" customHeight="1">
      <c r="B26" s="14" t="s">
        <v>131</v>
      </c>
      <c r="C26" s="15">
        <v>804.0</v>
      </c>
      <c r="D26" s="16" t="s">
        <v>268</v>
      </c>
      <c r="E26" s="17">
        <v>122500.0</v>
      </c>
      <c r="F26" s="17">
        <v>70000.0</v>
      </c>
      <c r="G26" s="17">
        <v>52500.0</v>
      </c>
    </row>
    <row r="27" ht="15.75" customHeight="1">
      <c r="B27" s="20" t="s">
        <v>216</v>
      </c>
      <c r="C27" s="2"/>
      <c r="D27" s="3"/>
      <c r="E27" s="69">
        <f t="shared" ref="E27:G27" si="3">SUM(E25:E26)</f>
        <v>122500</v>
      </c>
      <c r="F27" s="21">
        <f t="shared" si="3"/>
        <v>70000</v>
      </c>
      <c r="G27" s="70">
        <f t="shared" si="3"/>
        <v>52500</v>
      </c>
      <c r="H27" s="23" t="s">
        <v>20</v>
      </c>
    </row>
    <row r="28" ht="15.75" customHeight="1">
      <c r="B28" s="20" t="s">
        <v>218</v>
      </c>
      <c r="C28" s="2"/>
      <c r="D28" s="3"/>
      <c r="E28" s="69"/>
      <c r="F28" s="21"/>
      <c r="G28" s="69"/>
      <c r="I28" s="5"/>
      <c r="J28" s="5"/>
      <c r="K28" s="5"/>
    </row>
    <row r="29" ht="15.75" customHeight="1">
      <c r="B29" s="5"/>
      <c r="C29" s="5"/>
      <c r="D29" s="26"/>
      <c r="I29" s="5"/>
      <c r="J29" s="5"/>
      <c r="K29" s="5"/>
    </row>
    <row r="30" ht="15.75" customHeight="1">
      <c r="I30" s="10"/>
      <c r="J30" s="10"/>
      <c r="K30" s="10"/>
    </row>
    <row r="31" ht="15.75" customHeight="1">
      <c r="B31" s="5"/>
      <c r="C31" s="5"/>
      <c r="D31" s="5"/>
      <c r="I31" s="32"/>
      <c r="J31" s="32"/>
      <c r="K31" s="29"/>
    </row>
    <row r="32" ht="15.75" customHeight="1">
      <c r="B32" s="5"/>
      <c r="C32" s="5"/>
      <c r="D32" s="5"/>
      <c r="I32" s="32"/>
      <c r="J32" s="32"/>
      <c r="K32" s="29"/>
    </row>
    <row r="33" ht="15.75" customHeight="1">
      <c r="B33" s="10"/>
      <c r="C33" s="10"/>
      <c r="D33" s="10"/>
      <c r="I33" s="10"/>
      <c r="J33" s="10"/>
      <c r="K33" s="31"/>
    </row>
    <row r="34" ht="15.75" customHeight="1">
      <c r="B34" s="13"/>
      <c r="C34" s="13"/>
      <c r="D34" s="13"/>
    </row>
    <row r="35" ht="15.75" customHeight="1">
      <c r="B35" s="19"/>
      <c r="D35" s="27"/>
    </row>
    <row r="36" ht="15.75" customHeight="1">
      <c r="B36" s="10"/>
      <c r="C36" s="10"/>
      <c r="D36" s="26"/>
    </row>
    <row r="37" ht="15.75" customHeight="1">
      <c r="D37" s="27"/>
    </row>
    <row r="38" ht="15.75" customHeight="1">
      <c r="B38" s="10"/>
      <c r="C38" s="10"/>
      <c r="D38" s="26"/>
    </row>
    <row r="39" ht="15.75" customHeight="1"/>
    <row r="40" ht="15.75" customHeight="1">
      <c r="B40" s="5"/>
      <c r="C40" s="5"/>
      <c r="D40" s="5"/>
    </row>
    <row r="41" ht="15.75" customHeight="1">
      <c r="B41" s="5"/>
      <c r="C41" s="5"/>
      <c r="D41" s="5"/>
    </row>
    <row r="42" ht="15.75" customHeight="1">
      <c r="B42" s="10"/>
      <c r="C42" s="10"/>
      <c r="D42" s="10"/>
    </row>
    <row r="43" ht="15.75" customHeight="1">
      <c r="B43" s="13"/>
      <c r="C43" s="13"/>
      <c r="D43" s="13"/>
    </row>
    <row r="44" ht="15.75" customHeight="1">
      <c r="B44" s="19"/>
      <c r="D44" s="27"/>
    </row>
    <row r="45" ht="15.75" customHeight="1">
      <c r="B45" s="10"/>
      <c r="C45" s="10"/>
      <c r="D45" s="26"/>
    </row>
    <row r="46" ht="15.75" customHeight="1"/>
    <row r="47" ht="15.75" customHeight="1">
      <c r="B47" s="5"/>
      <c r="C47" s="5"/>
      <c r="D47" s="5"/>
    </row>
    <row r="48" ht="15.75" customHeight="1">
      <c r="B48" s="5"/>
      <c r="C48" s="5"/>
      <c r="D48" s="5"/>
    </row>
    <row r="49" ht="15.75" customHeight="1">
      <c r="B49" s="10"/>
      <c r="C49" s="10"/>
      <c r="D49" s="10"/>
    </row>
    <row r="50" ht="15.75" customHeight="1">
      <c r="B50" s="32"/>
      <c r="C50" s="32"/>
      <c r="D50" s="29"/>
    </row>
    <row r="51" ht="15.75" customHeight="1">
      <c r="B51" s="32"/>
      <c r="C51" s="32"/>
      <c r="D51" s="29"/>
    </row>
    <row r="52" ht="15.75" customHeight="1">
      <c r="B52" s="10"/>
      <c r="C52" s="10"/>
      <c r="D52" s="31"/>
    </row>
    <row r="53" ht="15.75" customHeight="1"/>
    <row r="54" ht="15.75" customHeight="1">
      <c r="B54" s="5"/>
      <c r="C54" s="5"/>
      <c r="D54" s="5"/>
    </row>
    <row r="55" ht="15.75" customHeight="1">
      <c r="B55" s="5"/>
      <c r="C55" s="5"/>
      <c r="D55" s="5"/>
    </row>
    <row r="56" ht="15.75" customHeight="1">
      <c r="B56" s="10"/>
      <c r="C56" s="10"/>
      <c r="D56" s="10"/>
    </row>
    <row r="57" ht="15.75" customHeight="1">
      <c r="B57" s="13"/>
      <c r="C57" s="13"/>
      <c r="D57" s="13"/>
    </row>
    <row r="58" ht="15.75" customHeight="1">
      <c r="B58" s="19"/>
      <c r="D58" s="27"/>
    </row>
    <row r="59" ht="15.75" customHeight="1">
      <c r="B59" s="68"/>
      <c r="C59" s="68"/>
      <c r="D59" s="50"/>
    </row>
    <row r="60" ht="15.75" customHeight="1">
      <c r="B60" s="68"/>
      <c r="C60" s="68"/>
      <c r="D60" s="50"/>
    </row>
    <row r="61" ht="15.75" customHeight="1">
      <c r="B61" s="5"/>
      <c r="C61" s="5"/>
      <c r="D61" s="26"/>
    </row>
    <row r="62" ht="15.75" customHeight="1"/>
    <row r="63" ht="15.75" customHeight="1">
      <c r="B63" s="5"/>
      <c r="C63" s="5"/>
      <c r="D63" s="5"/>
    </row>
    <row r="64" ht="15.75" customHeight="1">
      <c r="B64" s="5"/>
      <c r="C64" s="5"/>
      <c r="D64" s="5"/>
    </row>
    <row r="65" ht="15.75" customHeight="1">
      <c r="B65" s="10"/>
      <c r="C65" s="10"/>
      <c r="D65" s="10"/>
    </row>
    <row r="66" ht="15.75" customHeight="1">
      <c r="B66" s="13"/>
      <c r="C66" s="13"/>
      <c r="D66" s="13"/>
    </row>
    <row r="67" ht="15.75" customHeight="1">
      <c r="B67" s="19"/>
      <c r="D67" s="27"/>
    </row>
    <row r="68" ht="15.75" customHeight="1">
      <c r="B68" s="68"/>
      <c r="C68" s="68"/>
      <c r="D68" s="50"/>
    </row>
    <row r="69" ht="15.75" customHeight="1">
      <c r="B69" s="68"/>
      <c r="C69" s="68"/>
      <c r="D69" s="50"/>
    </row>
    <row r="70" ht="15.75" customHeight="1">
      <c r="B70" s="5"/>
      <c r="C70" s="5"/>
      <c r="D70" s="26"/>
    </row>
    <row r="71" ht="15.75" customHeight="1"/>
    <row r="72" ht="15.75" customHeight="1">
      <c r="B72" s="71"/>
      <c r="C72" s="71"/>
      <c r="D72" s="71"/>
    </row>
    <row r="73" ht="15.75" customHeight="1">
      <c r="B73" s="71"/>
      <c r="C73" s="71"/>
      <c r="D73" s="71"/>
    </row>
    <row r="74" ht="15.75" customHeight="1">
      <c r="B74" s="71"/>
      <c r="C74" s="71"/>
      <c r="D74" s="71"/>
    </row>
    <row r="75" ht="15.75" customHeight="1">
      <c r="B75" s="72"/>
      <c r="C75" s="72"/>
      <c r="D75" s="72"/>
    </row>
    <row r="76" ht="15.75" customHeight="1">
      <c r="B76" s="57"/>
      <c r="C76" s="58"/>
      <c r="D76" s="59"/>
    </row>
    <row r="77" ht="15.75" customHeight="1">
      <c r="B77" s="71"/>
      <c r="C77" s="71"/>
      <c r="D77" s="73"/>
    </row>
    <row r="78" ht="15.75" customHeight="1"/>
    <row r="79" ht="15.75" customHeight="1">
      <c r="B79" s="5"/>
      <c r="C79" s="5"/>
      <c r="D79" s="5"/>
    </row>
    <row r="80" ht="15.75" customHeight="1">
      <c r="B80" s="5"/>
      <c r="C80" s="5"/>
      <c r="D80" s="5"/>
    </row>
    <row r="81" ht="15.75" customHeight="1">
      <c r="B81" s="5"/>
      <c r="C81" s="5"/>
      <c r="D81" s="5"/>
    </row>
    <row r="82" ht="15.75" customHeight="1">
      <c r="B82" s="13"/>
      <c r="C82" s="13"/>
      <c r="D82" s="13"/>
    </row>
    <row r="83" ht="15.75" customHeight="1">
      <c r="B83" s="19"/>
      <c r="D83" s="27"/>
    </row>
    <row r="84" ht="15.75" customHeight="1">
      <c r="B84" s="19"/>
      <c r="D84" s="27"/>
    </row>
    <row r="85" ht="15.75" customHeight="1">
      <c r="B85" s="19"/>
      <c r="D85" s="27"/>
    </row>
    <row r="86" ht="15.75" customHeight="1">
      <c r="B86" s="10"/>
      <c r="C86" s="10"/>
      <c r="D86" s="26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2">
    <mergeCell ref="E12:E14"/>
    <mergeCell ref="F12:F14"/>
    <mergeCell ref="G12:G14"/>
    <mergeCell ref="B2:D2"/>
    <mergeCell ref="E2:E4"/>
    <mergeCell ref="F2:F4"/>
    <mergeCell ref="G2:G4"/>
    <mergeCell ref="B8:D8"/>
    <mergeCell ref="B9:D9"/>
    <mergeCell ref="B12:D12"/>
    <mergeCell ref="B22:D22"/>
    <mergeCell ref="B23:D23"/>
    <mergeCell ref="B27:D27"/>
    <mergeCell ref="B28:D28"/>
    <mergeCell ref="B13:D13"/>
    <mergeCell ref="B14:D14"/>
    <mergeCell ref="B18:D18"/>
    <mergeCell ref="B19:D19"/>
    <mergeCell ref="E22:E24"/>
    <mergeCell ref="F22:F24"/>
    <mergeCell ref="G22:G24"/>
    <mergeCell ref="B24:D2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4.86"/>
    <col customWidth="1" min="3" max="3" width="6.86"/>
    <col customWidth="1" min="4" max="4" width="11.71"/>
    <col customWidth="1" min="5" max="5" width="13.86"/>
    <col customWidth="1" min="6" max="6" width="21.0"/>
    <col customWidth="1" min="7" max="7" width="22.86"/>
    <col customWidth="1" min="8" max="8" width="16.43"/>
    <col customWidth="1" min="9" max="10" width="10.71"/>
    <col customWidth="1" min="11" max="11" width="16.0"/>
    <col customWidth="1" min="12" max="12" width="14.71"/>
    <col customWidth="1" min="13" max="26" width="10.71"/>
  </cols>
  <sheetData>
    <row r="2">
      <c r="B2" s="1" t="s">
        <v>0</v>
      </c>
      <c r="C2" s="2"/>
      <c r="D2" s="3"/>
      <c r="E2" s="4"/>
      <c r="F2" s="4"/>
      <c r="G2" s="4"/>
      <c r="H2" s="5"/>
      <c r="J2" s="5"/>
      <c r="K2" s="5"/>
      <c r="L2" s="5"/>
    </row>
    <row r="3">
      <c r="B3" s="6" t="s">
        <v>270</v>
      </c>
      <c r="C3" s="2"/>
      <c r="D3" s="3"/>
      <c r="E3" s="7"/>
      <c r="F3" s="7"/>
      <c r="G3" s="7"/>
      <c r="H3" s="5"/>
      <c r="J3" s="5"/>
      <c r="K3" s="5"/>
      <c r="L3" s="5"/>
    </row>
    <row r="4">
      <c r="B4" s="8" t="s">
        <v>2</v>
      </c>
      <c r="C4" s="2"/>
      <c r="D4" s="3"/>
      <c r="E4" s="9"/>
      <c r="F4" s="9"/>
      <c r="G4" s="9"/>
      <c r="H4" s="10"/>
      <c r="J4" s="10"/>
      <c r="K4" s="10"/>
      <c r="L4" s="10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  <c r="H5" s="13"/>
      <c r="J5" s="13"/>
      <c r="K5" s="13"/>
      <c r="L5" s="13"/>
    </row>
    <row r="6">
      <c r="B6" s="14" t="s">
        <v>178</v>
      </c>
      <c r="C6" s="15">
        <v>327.0</v>
      </c>
      <c r="D6" s="16" t="s">
        <v>271</v>
      </c>
      <c r="E6" s="17">
        <v>28000.0</v>
      </c>
      <c r="F6" s="17">
        <v>20000.0</v>
      </c>
      <c r="G6" s="17">
        <v>8000.0</v>
      </c>
      <c r="H6" s="27"/>
      <c r="J6" s="19"/>
      <c r="L6" s="27"/>
    </row>
    <row r="7">
      <c r="B7" s="20" t="s">
        <v>19</v>
      </c>
      <c r="C7" s="2"/>
      <c r="D7" s="3"/>
      <c r="E7" s="21">
        <f>SUM(E6)</f>
        <v>28000</v>
      </c>
      <c r="F7" s="21">
        <f>SUM(F5:F6)</f>
        <v>20000</v>
      </c>
      <c r="G7" s="22">
        <f>SUM(G6)</f>
        <v>8000</v>
      </c>
      <c r="H7" s="23" t="s">
        <v>20</v>
      </c>
      <c r="J7" s="10"/>
      <c r="K7" s="10"/>
      <c r="L7" s="26"/>
    </row>
    <row r="8" ht="15.0" customHeight="1">
      <c r="B8" s="20" t="s">
        <v>218</v>
      </c>
      <c r="C8" s="2"/>
      <c r="D8" s="3"/>
      <c r="E8" s="21"/>
      <c r="F8" s="21">
        <f>SUM(F7)</f>
        <v>20000</v>
      </c>
      <c r="G8" s="21"/>
    </row>
    <row r="10">
      <c r="B10" s="5"/>
      <c r="C10" s="5"/>
      <c r="D10" s="5"/>
      <c r="G10" s="5"/>
      <c r="H10" s="5"/>
    </row>
    <row r="11">
      <c r="B11" s="1" t="s">
        <v>0</v>
      </c>
      <c r="C11" s="2"/>
      <c r="D11" s="3"/>
      <c r="E11" s="4"/>
      <c r="F11" s="4"/>
      <c r="G11" s="4"/>
      <c r="H11" s="5"/>
    </row>
    <row r="12">
      <c r="B12" s="6" t="s">
        <v>270</v>
      </c>
      <c r="C12" s="2"/>
      <c r="D12" s="3"/>
      <c r="E12" s="7"/>
      <c r="F12" s="7"/>
      <c r="G12" s="7"/>
      <c r="H12" s="10"/>
    </row>
    <row r="13">
      <c r="B13" s="8" t="s">
        <v>22</v>
      </c>
      <c r="C13" s="2"/>
      <c r="D13" s="3"/>
      <c r="E13" s="9"/>
      <c r="F13" s="9"/>
      <c r="G13" s="9"/>
      <c r="H13" s="13"/>
    </row>
    <row r="14">
      <c r="B14" s="11" t="s">
        <v>3</v>
      </c>
      <c r="C14" s="11" t="s">
        <v>4</v>
      </c>
      <c r="D14" s="11" t="s">
        <v>5</v>
      </c>
      <c r="E14" s="11" t="s">
        <v>6</v>
      </c>
      <c r="F14" s="11" t="s">
        <v>7</v>
      </c>
      <c r="G14" s="12" t="s">
        <v>8</v>
      </c>
      <c r="H14" s="27"/>
    </row>
    <row r="15">
      <c r="B15" s="14" t="s">
        <v>56</v>
      </c>
      <c r="C15" s="15">
        <v>327.0</v>
      </c>
      <c r="D15" s="16" t="s">
        <v>271</v>
      </c>
      <c r="E15" s="17">
        <v>31500.0</v>
      </c>
      <c r="F15" s="17">
        <v>20000.0</v>
      </c>
      <c r="G15" s="17">
        <v>11500.0</v>
      </c>
      <c r="H15" s="26"/>
    </row>
    <row r="16">
      <c r="B16" s="20" t="s">
        <v>19</v>
      </c>
      <c r="C16" s="2"/>
      <c r="D16" s="3"/>
      <c r="E16" s="21">
        <f>SUM(E15)</f>
        <v>31500</v>
      </c>
      <c r="F16" s="21">
        <f>SUM(F14:F15)</f>
        <v>20000</v>
      </c>
      <c r="G16" s="22">
        <f>SUM(G15)</f>
        <v>11500</v>
      </c>
      <c r="H16" s="23" t="s">
        <v>20</v>
      </c>
    </row>
    <row r="17">
      <c r="B17" s="20" t="s">
        <v>218</v>
      </c>
      <c r="C17" s="2"/>
      <c r="D17" s="3"/>
      <c r="E17" s="21"/>
      <c r="F17" s="21">
        <f>SUM(F16)</f>
        <v>20000</v>
      </c>
      <c r="G17" s="21"/>
      <c r="H17" s="26"/>
    </row>
    <row r="18">
      <c r="B18" s="10"/>
      <c r="C18" s="10"/>
      <c r="D18" s="26"/>
      <c r="G18" s="10"/>
      <c r="H18" s="26"/>
    </row>
    <row r="19">
      <c r="B19" s="5"/>
      <c r="C19" s="5"/>
      <c r="D19" s="5"/>
    </row>
    <row r="20">
      <c r="B20" s="1" t="s">
        <v>0</v>
      </c>
      <c r="C20" s="2"/>
      <c r="D20" s="3"/>
      <c r="E20" s="4"/>
      <c r="F20" s="4"/>
      <c r="G20" s="4"/>
    </row>
    <row r="21">
      <c r="B21" s="6" t="s">
        <v>270</v>
      </c>
      <c r="C21" s="2"/>
      <c r="D21" s="3"/>
      <c r="E21" s="7"/>
      <c r="F21" s="7"/>
      <c r="G21" s="7"/>
    </row>
    <row r="22">
      <c r="B22" s="8" t="s">
        <v>64</v>
      </c>
      <c r="C22" s="2"/>
      <c r="D22" s="3"/>
      <c r="E22" s="9"/>
      <c r="F22" s="9"/>
      <c r="G22" s="9"/>
    </row>
    <row r="23" ht="15.75" customHeight="1">
      <c r="B23" s="11" t="s">
        <v>3</v>
      </c>
      <c r="C23" s="11" t="s">
        <v>4</v>
      </c>
      <c r="D23" s="11" t="s">
        <v>5</v>
      </c>
      <c r="E23" s="11" t="s">
        <v>6</v>
      </c>
      <c r="F23" s="11" t="s">
        <v>7</v>
      </c>
      <c r="G23" s="12" t="s">
        <v>8</v>
      </c>
    </row>
    <row r="24" ht="15.75" customHeight="1">
      <c r="B24" s="14" t="s">
        <v>68</v>
      </c>
      <c r="C24" s="15">
        <v>327.0</v>
      </c>
      <c r="D24" s="16" t="s">
        <v>271</v>
      </c>
      <c r="E24" s="17">
        <v>38500.0</v>
      </c>
      <c r="F24" s="17">
        <v>22000.0</v>
      </c>
      <c r="G24" s="17">
        <v>16500.0</v>
      </c>
    </row>
    <row r="25" ht="15.75" customHeight="1">
      <c r="B25" s="14" t="s">
        <v>83</v>
      </c>
      <c r="C25" s="15">
        <v>327.0</v>
      </c>
      <c r="D25" s="16" t="s">
        <v>271</v>
      </c>
      <c r="E25" s="17">
        <v>38500.0</v>
      </c>
      <c r="F25" s="17">
        <v>22000.0</v>
      </c>
      <c r="G25" s="17">
        <v>16500.0</v>
      </c>
    </row>
    <row r="26" ht="15.75" customHeight="1">
      <c r="B26" s="20" t="s">
        <v>19</v>
      </c>
      <c r="C26" s="2"/>
      <c r="D26" s="3"/>
      <c r="E26" s="21">
        <f t="shared" ref="E26:G26" si="1">SUM(E24:E25)</f>
        <v>77000</v>
      </c>
      <c r="F26" s="21">
        <f t="shared" si="1"/>
        <v>44000</v>
      </c>
      <c r="G26" s="22">
        <f t="shared" si="1"/>
        <v>33000</v>
      </c>
      <c r="H26" s="23" t="s">
        <v>20</v>
      </c>
    </row>
    <row r="27" ht="15.75" customHeight="1">
      <c r="B27" s="20" t="s">
        <v>218</v>
      </c>
      <c r="C27" s="2"/>
      <c r="D27" s="3"/>
      <c r="E27" s="21"/>
      <c r="F27" s="21">
        <f>SUM(F26)</f>
        <v>44000</v>
      </c>
      <c r="G27" s="21"/>
    </row>
    <row r="28" ht="15.75" customHeight="1">
      <c r="B28" s="10"/>
      <c r="C28" s="10"/>
      <c r="D28" s="10"/>
    </row>
    <row r="29" ht="15.75" customHeight="1">
      <c r="B29" s="13"/>
      <c r="C29" s="13"/>
      <c r="D29" s="13"/>
    </row>
    <row r="30" ht="15.75" customHeight="1">
      <c r="B30" s="1" t="s">
        <v>0</v>
      </c>
      <c r="C30" s="2"/>
      <c r="D30" s="3"/>
      <c r="E30" s="4"/>
      <c r="F30" s="4"/>
      <c r="G30" s="4"/>
    </row>
    <row r="31" ht="15.75" customHeight="1">
      <c r="B31" s="6" t="s">
        <v>270</v>
      </c>
      <c r="C31" s="2"/>
      <c r="D31" s="3"/>
      <c r="E31" s="7"/>
      <c r="F31" s="7"/>
      <c r="G31" s="7"/>
    </row>
    <row r="32" ht="15.75" customHeight="1">
      <c r="B32" s="8" t="s">
        <v>126</v>
      </c>
      <c r="C32" s="2"/>
      <c r="D32" s="3"/>
      <c r="E32" s="9"/>
      <c r="F32" s="9"/>
      <c r="G32" s="9"/>
    </row>
    <row r="33" ht="15.75" customHeight="1">
      <c r="B33" s="11" t="s">
        <v>3</v>
      </c>
      <c r="C33" s="11" t="s">
        <v>4</v>
      </c>
      <c r="D33" s="11" t="s">
        <v>5</v>
      </c>
      <c r="E33" s="11" t="s">
        <v>6</v>
      </c>
      <c r="F33" s="11" t="s">
        <v>7</v>
      </c>
      <c r="G33" s="12" t="s">
        <v>8</v>
      </c>
    </row>
    <row r="34" ht="15.75" customHeight="1">
      <c r="B34" s="14" t="s">
        <v>129</v>
      </c>
      <c r="C34" s="15">
        <v>327.0</v>
      </c>
      <c r="D34" s="16" t="s">
        <v>271</v>
      </c>
      <c r="E34" s="17">
        <v>38500.0</v>
      </c>
      <c r="F34" s="17">
        <v>22000.0</v>
      </c>
      <c r="G34" s="17">
        <v>16500.0</v>
      </c>
    </row>
    <row r="35" ht="15.75" customHeight="1">
      <c r="B35" s="20" t="s">
        <v>19</v>
      </c>
      <c r="C35" s="2"/>
      <c r="D35" s="3"/>
      <c r="E35" s="21">
        <f t="shared" ref="E35:G35" si="2">SUM(E33:E34)</f>
        <v>38500</v>
      </c>
      <c r="F35" s="21">
        <f t="shared" si="2"/>
        <v>22000</v>
      </c>
      <c r="G35" s="22">
        <f t="shared" si="2"/>
        <v>16500</v>
      </c>
      <c r="H35" s="23" t="s">
        <v>20</v>
      </c>
    </row>
    <row r="36" ht="15.75" customHeight="1">
      <c r="B36" s="20" t="s">
        <v>218</v>
      </c>
      <c r="C36" s="2"/>
      <c r="D36" s="3"/>
      <c r="E36" s="21"/>
      <c r="F36" s="21">
        <f>SUM(F35)</f>
        <v>22000</v>
      </c>
      <c r="G36" s="21"/>
    </row>
    <row r="37" ht="15.75" customHeight="1">
      <c r="B37" s="19"/>
      <c r="C37" s="58"/>
      <c r="D37" s="59"/>
    </row>
    <row r="38" ht="15.75" customHeight="1">
      <c r="B38" s="71"/>
      <c r="C38" s="71"/>
      <c r="D38" s="73"/>
    </row>
    <row r="39" ht="15.75" customHeight="1">
      <c r="B39" s="1" t="s">
        <v>0</v>
      </c>
      <c r="C39" s="2"/>
      <c r="D39" s="3"/>
      <c r="E39" s="4"/>
      <c r="F39" s="4"/>
      <c r="G39" s="4"/>
    </row>
    <row r="40" ht="15.75" customHeight="1">
      <c r="B40" s="6" t="s">
        <v>270</v>
      </c>
      <c r="C40" s="2"/>
      <c r="D40" s="3"/>
      <c r="E40" s="7"/>
      <c r="F40" s="7"/>
      <c r="G40" s="7"/>
    </row>
    <row r="41" ht="15.75" customHeight="1">
      <c r="B41" s="8" t="s">
        <v>157</v>
      </c>
      <c r="C41" s="2"/>
      <c r="D41" s="3"/>
      <c r="E41" s="9"/>
      <c r="F41" s="9"/>
      <c r="G41" s="9"/>
    </row>
    <row r="42" ht="15.75" customHeight="1">
      <c r="B42" s="11" t="s">
        <v>3</v>
      </c>
      <c r="C42" s="11" t="s">
        <v>4</v>
      </c>
      <c r="D42" s="11" t="s">
        <v>5</v>
      </c>
      <c r="E42" s="11" t="s">
        <v>6</v>
      </c>
      <c r="F42" s="11" t="s">
        <v>7</v>
      </c>
      <c r="G42" s="12" t="s">
        <v>8</v>
      </c>
    </row>
    <row r="43" ht="15.75" customHeight="1">
      <c r="B43" s="14" t="s">
        <v>170</v>
      </c>
      <c r="C43" s="15">
        <v>327.0</v>
      </c>
      <c r="D43" s="16" t="s">
        <v>271</v>
      </c>
      <c r="E43" s="17">
        <v>38500.0</v>
      </c>
      <c r="F43" s="17">
        <v>22000.0</v>
      </c>
      <c r="G43" s="17">
        <v>16500.0</v>
      </c>
    </row>
    <row r="44" ht="15.75" customHeight="1">
      <c r="B44" s="20" t="s">
        <v>19</v>
      </c>
      <c r="C44" s="2"/>
      <c r="D44" s="3"/>
      <c r="E44" s="21">
        <f t="shared" ref="E44:G44" si="3">SUM(E42:E43)</f>
        <v>38500</v>
      </c>
      <c r="F44" s="21">
        <f t="shared" si="3"/>
        <v>22000</v>
      </c>
      <c r="G44" s="22">
        <f t="shared" si="3"/>
        <v>16500</v>
      </c>
      <c r="H44" s="23" t="s">
        <v>20</v>
      </c>
    </row>
    <row r="45" ht="15.75" customHeight="1">
      <c r="B45" s="20" t="s">
        <v>218</v>
      </c>
      <c r="C45" s="2"/>
      <c r="D45" s="3"/>
      <c r="E45" s="21"/>
      <c r="F45" s="21">
        <f>SUM(F44)</f>
        <v>22000</v>
      </c>
      <c r="G45" s="21"/>
    </row>
    <row r="46" ht="15.75" customHeight="1">
      <c r="B46" s="10"/>
      <c r="C46" s="10"/>
      <c r="D46" s="2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0">
    <mergeCell ref="B2:D2"/>
    <mergeCell ref="E2:E4"/>
    <mergeCell ref="F2:F4"/>
    <mergeCell ref="G2:G4"/>
    <mergeCell ref="B3:D3"/>
    <mergeCell ref="B4:D4"/>
    <mergeCell ref="B7:D7"/>
    <mergeCell ref="B8:D8"/>
    <mergeCell ref="B11:D11"/>
    <mergeCell ref="E11:E13"/>
    <mergeCell ref="F11:F13"/>
    <mergeCell ref="G11:G13"/>
    <mergeCell ref="B12:D12"/>
    <mergeCell ref="B13:D13"/>
    <mergeCell ref="B16:D16"/>
    <mergeCell ref="B17:D17"/>
    <mergeCell ref="B20:D20"/>
    <mergeCell ref="E20:E22"/>
    <mergeCell ref="F20:F22"/>
    <mergeCell ref="G20:G22"/>
    <mergeCell ref="B21:D21"/>
    <mergeCell ref="B22:D22"/>
    <mergeCell ref="B26:D26"/>
    <mergeCell ref="B27:D27"/>
    <mergeCell ref="B30:D30"/>
    <mergeCell ref="E30:E32"/>
    <mergeCell ref="F30:F32"/>
    <mergeCell ref="G30:G32"/>
    <mergeCell ref="B39:D39"/>
    <mergeCell ref="B40:D40"/>
    <mergeCell ref="B44:D44"/>
    <mergeCell ref="B45:D45"/>
    <mergeCell ref="B31:D31"/>
    <mergeCell ref="B32:D32"/>
    <mergeCell ref="B35:D35"/>
    <mergeCell ref="B36:D36"/>
    <mergeCell ref="E39:E41"/>
    <mergeCell ref="F39:F41"/>
    <mergeCell ref="G39:G41"/>
    <mergeCell ref="B41:D4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0.71"/>
    <col customWidth="1" min="3" max="3" width="7.57"/>
    <col customWidth="1" min="4" max="4" width="16.86"/>
    <col customWidth="1" min="5" max="5" width="13.86"/>
    <col customWidth="1" min="6" max="6" width="20.43"/>
    <col customWidth="1" min="7" max="7" width="23.43"/>
    <col customWidth="1" min="8" max="8" width="17.71"/>
    <col customWidth="1" min="9" max="10" width="10.71"/>
    <col customWidth="1" min="11" max="11" width="19.57"/>
    <col customWidth="1" min="12" max="12" width="16.57"/>
    <col customWidth="1" min="13" max="14" width="10.71"/>
    <col customWidth="1" min="15" max="15" width="16.29"/>
    <col customWidth="1" min="16" max="16" width="11.86"/>
    <col customWidth="1" min="17" max="26" width="10.71"/>
  </cols>
  <sheetData>
    <row r="2">
      <c r="B2" s="5"/>
      <c r="C2" s="5"/>
      <c r="D2" s="5"/>
      <c r="G2" s="5"/>
      <c r="H2" s="5"/>
      <c r="J2" s="5"/>
      <c r="K2" s="5"/>
      <c r="L2" s="5"/>
      <c r="N2" s="5"/>
      <c r="O2" s="5"/>
      <c r="P2" s="5"/>
    </row>
    <row r="3">
      <c r="B3" s="1" t="s">
        <v>0</v>
      </c>
      <c r="C3" s="2"/>
      <c r="D3" s="3"/>
      <c r="E3" s="4"/>
      <c r="F3" s="4"/>
      <c r="G3" s="4"/>
      <c r="H3" s="5"/>
      <c r="J3" s="5"/>
      <c r="K3" s="5"/>
      <c r="L3" s="5"/>
      <c r="N3" s="5"/>
      <c r="O3" s="5"/>
      <c r="P3" s="5"/>
    </row>
    <row r="4">
      <c r="B4" s="6" t="s">
        <v>272</v>
      </c>
      <c r="C4" s="2"/>
      <c r="D4" s="3"/>
      <c r="E4" s="7"/>
      <c r="F4" s="7"/>
      <c r="G4" s="7"/>
      <c r="H4" s="10"/>
      <c r="J4" s="10"/>
      <c r="K4" s="10"/>
      <c r="L4" s="10"/>
      <c r="N4" s="10"/>
      <c r="O4" s="10"/>
      <c r="P4" s="10"/>
    </row>
    <row r="5">
      <c r="B5" s="8" t="s">
        <v>22</v>
      </c>
      <c r="C5" s="2"/>
      <c r="D5" s="3"/>
      <c r="E5" s="9"/>
      <c r="F5" s="9"/>
      <c r="G5" s="9"/>
      <c r="H5" s="13"/>
      <c r="J5" s="13"/>
      <c r="K5" s="13"/>
      <c r="L5" s="13"/>
      <c r="N5" s="13"/>
      <c r="O5" s="13"/>
      <c r="P5" s="13"/>
    </row>
    <row r="6">
      <c r="B6" s="11" t="s">
        <v>3</v>
      </c>
      <c r="C6" s="11" t="s">
        <v>4</v>
      </c>
      <c r="D6" s="11" t="s">
        <v>5</v>
      </c>
      <c r="E6" s="11" t="s">
        <v>6</v>
      </c>
      <c r="F6" s="11" t="s">
        <v>7</v>
      </c>
      <c r="G6" s="12" t="s">
        <v>8</v>
      </c>
      <c r="H6" s="27"/>
      <c r="J6" s="19"/>
      <c r="L6" s="27"/>
      <c r="N6" s="19"/>
      <c r="P6" s="27"/>
    </row>
    <row r="7">
      <c r="B7" s="14" t="s">
        <v>47</v>
      </c>
      <c r="C7" s="15">
        <v>405.0</v>
      </c>
      <c r="D7" s="16" t="s">
        <v>273</v>
      </c>
      <c r="E7" s="17">
        <v>26250.0</v>
      </c>
      <c r="F7" s="17">
        <v>15000.0</v>
      </c>
      <c r="G7" s="17">
        <v>11250.0</v>
      </c>
      <c r="H7" s="27"/>
      <c r="J7" s="10"/>
      <c r="K7" s="10"/>
      <c r="L7" s="26"/>
      <c r="N7" s="10"/>
      <c r="O7" s="10"/>
      <c r="P7" s="26"/>
    </row>
    <row r="8">
      <c r="B8" s="14" t="s">
        <v>47</v>
      </c>
      <c r="C8" s="15">
        <v>417.0</v>
      </c>
      <c r="D8" s="16" t="s">
        <v>274</v>
      </c>
      <c r="E8" s="17">
        <v>17500.0</v>
      </c>
      <c r="F8" s="17">
        <v>10000.0</v>
      </c>
      <c r="G8" s="17">
        <v>7500.0</v>
      </c>
      <c r="H8" s="27"/>
      <c r="J8" s="19"/>
      <c r="L8" s="27"/>
    </row>
    <row r="9">
      <c r="B9" s="14" t="s">
        <v>52</v>
      </c>
      <c r="C9" s="15">
        <v>405.0</v>
      </c>
      <c r="D9" s="16" t="s">
        <v>273</v>
      </c>
      <c r="E9" s="17">
        <v>26250.0</v>
      </c>
      <c r="F9" s="17">
        <v>15000.0</v>
      </c>
      <c r="G9" s="17">
        <v>11250.0</v>
      </c>
    </row>
    <row r="10">
      <c r="B10" s="20" t="s">
        <v>19</v>
      </c>
      <c r="C10" s="2"/>
      <c r="D10" s="3"/>
      <c r="E10" s="21">
        <f t="shared" ref="E10:G10" si="1">SUM(E7:E9)</f>
        <v>70000</v>
      </c>
      <c r="F10" s="21">
        <f t="shared" si="1"/>
        <v>40000</v>
      </c>
      <c r="G10" s="22">
        <f t="shared" si="1"/>
        <v>30000</v>
      </c>
      <c r="H10" s="23" t="s">
        <v>20</v>
      </c>
    </row>
    <row r="11">
      <c r="B11" s="20" t="s">
        <v>218</v>
      </c>
      <c r="C11" s="2"/>
      <c r="D11" s="3"/>
      <c r="E11" s="21"/>
      <c r="F11" s="21">
        <f>SUM(F10)</f>
        <v>40000</v>
      </c>
      <c r="G11" s="21"/>
      <c r="H11" s="5"/>
    </row>
    <row r="12">
      <c r="B12" s="5"/>
      <c r="C12" s="5"/>
      <c r="D12" s="5"/>
      <c r="G12" s="5"/>
      <c r="H12" s="5"/>
    </row>
    <row r="13">
      <c r="B13" s="10"/>
      <c r="C13" s="10"/>
      <c r="D13" s="10"/>
      <c r="G13" s="10"/>
      <c r="H13" s="10"/>
    </row>
    <row r="14">
      <c r="B14" s="1" t="s">
        <v>0</v>
      </c>
      <c r="C14" s="2"/>
      <c r="D14" s="3"/>
      <c r="E14" s="4"/>
      <c r="F14" s="4"/>
      <c r="G14" s="4"/>
      <c r="H14" s="13"/>
    </row>
    <row r="15">
      <c r="B15" s="6" t="s">
        <v>272</v>
      </c>
      <c r="C15" s="2"/>
      <c r="D15" s="3"/>
      <c r="E15" s="7"/>
      <c r="F15" s="7"/>
      <c r="G15" s="7"/>
      <c r="H15" s="27"/>
    </row>
    <row r="16">
      <c r="B16" s="8" t="s">
        <v>64</v>
      </c>
      <c r="C16" s="2"/>
      <c r="D16" s="3"/>
      <c r="E16" s="9"/>
      <c r="F16" s="9"/>
      <c r="G16" s="9"/>
      <c r="H16" s="27"/>
    </row>
    <row r="17">
      <c r="B17" s="11" t="s">
        <v>3</v>
      </c>
      <c r="C17" s="11" t="s">
        <v>4</v>
      </c>
      <c r="D17" s="11" t="s">
        <v>5</v>
      </c>
      <c r="E17" s="11" t="s">
        <v>6</v>
      </c>
      <c r="F17" s="11" t="s">
        <v>7</v>
      </c>
      <c r="G17" s="12" t="s">
        <v>8</v>
      </c>
      <c r="H17" s="27"/>
    </row>
    <row r="18">
      <c r="B18" s="14" t="s">
        <v>78</v>
      </c>
      <c r="C18" s="15">
        <v>417.0</v>
      </c>
      <c r="D18" s="16" t="s">
        <v>274</v>
      </c>
      <c r="E18" s="17">
        <v>17500.0</v>
      </c>
      <c r="F18" s="17">
        <v>10000.0</v>
      </c>
      <c r="G18" s="17">
        <v>17500.0</v>
      </c>
      <c r="H18" s="26"/>
    </row>
    <row r="19">
      <c r="B19" s="20" t="s">
        <v>216</v>
      </c>
      <c r="C19" s="2"/>
      <c r="D19" s="3"/>
      <c r="E19" s="21">
        <f>SUM(E18)</f>
        <v>17500</v>
      </c>
      <c r="F19" s="21">
        <f>SUM(F16:F18)</f>
        <v>10000</v>
      </c>
      <c r="G19" s="74">
        <f>SUM(G18)</f>
        <v>17500</v>
      </c>
      <c r="H19" s="23" t="s">
        <v>20</v>
      </c>
    </row>
    <row r="20">
      <c r="B20" s="20" t="s">
        <v>218</v>
      </c>
      <c r="C20" s="2"/>
      <c r="D20" s="3"/>
      <c r="E20" s="21"/>
      <c r="F20" s="21">
        <f>SUM(F19)</f>
        <v>10000</v>
      </c>
      <c r="G20" s="21"/>
    </row>
    <row r="21">
      <c r="B21" s="5"/>
      <c r="C21" s="5"/>
      <c r="D21" s="5"/>
    </row>
    <row r="22">
      <c r="B22" s="10"/>
      <c r="C22" s="10"/>
      <c r="D22" s="10"/>
    </row>
    <row r="23" ht="15.75" customHeight="1">
      <c r="B23" s="1" t="s">
        <v>0</v>
      </c>
      <c r="C23" s="2"/>
      <c r="D23" s="3"/>
      <c r="E23" s="4"/>
      <c r="F23" s="4"/>
      <c r="G23" s="4"/>
    </row>
    <row r="24" ht="15.75" customHeight="1">
      <c r="B24" s="6" t="s">
        <v>272</v>
      </c>
      <c r="C24" s="2"/>
      <c r="D24" s="3"/>
      <c r="E24" s="7"/>
      <c r="F24" s="7"/>
      <c r="G24" s="7"/>
    </row>
    <row r="25" ht="15.75" customHeight="1">
      <c r="B25" s="8" t="s">
        <v>126</v>
      </c>
      <c r="C25" s="2"/>
      <c r="D25" s="3"/>
      <c r="E25" s="9"/>
      <c r="F25" s="9"/>
      <c r="G25" s="9"/>
    </row>
    <row r="26" ht="15.75" customHeight="1">
      <c r="B26" s="11" t="s">
        <v>3</v>
      </c>
      <c r="C26" s="11" t="s">
        <v>4</v>
      </c>
      <c r="D26" s="11" t="s">
        <v>5</v>
      </c>
      <c r="E26" s="11" t="s">
        <v>6</v>
      </c>
      <c r="F26" s="11" t="s">
        <v>7</v>
      </c>
      <c r="G26" s="12" t="s">
        <v>8</v>
      </c>
    </row>
    <row r="27" ht="15.75" customHeight="1">
      <c r="B27" s="14" t="s">
        <v>154</v>
      </c>
      <c r="C27" s="15">
        <v>405.0</v>
      </c>
      <c r="D27" s="16" t="s">
        <v>275</v>
      </c>
      <c r="E27" s="17">
        <v>61250.0</v>
      </c>
      <c r="F27" s="17">
        <v>35000.0</v>
      </c>
      <c r="G27" s="17">
        <v>26250.0</v>
      </c>
    </row>
    <row r="28" ht="15.75" customHeight="1">
      <c r="B28" s="20" t="s">
        <v>19</v>
      </c>
      <c r="C28" s="2"/>
      <c r="D28" s="3"/>
      <c r="E28" s="21">
        <f>SUM(E27)</f>
        <v>61250</v>
      </c>
      <c r="F28" s="21">
        <f>SUM(F25:F27)</f>
        <v>35000</v>
      </c>
      <c r="G28" s="74">
        <f>SUM(G27)</f>
        <v>26250</v>
      </c>
      <c r="H28" s="23" t="s">
        <v>20</v>
      </c>
    </row>
    <row r="29" ht="15.75" customHeight="1">
      <c r="B29" s="20" t="s">
        <v>218</v>
      </c>
      <c r="C29" s="2"/>
      <c r="D29" s="3"/>
      <c r="E29" s="21"/>
      <c r="F29" s="21">
        <f>SUM(F28)</f>
        <v>35000</v>
      </c>
      <c r="G29" s="21"/>
    </row>
    <row r="30" ht="15.75" customHeight="1">
      <c r="B30" s="5"/>
      <c r="C30" s="5"/>
      <c r="D30" s="5"/>
    </row>
    <row r="31" ht="15.75" customHeight="1">
      <c r="B31" s="5"/>
      <c r="C31" s="5"/>
      <c r="D31" s="5"/>
    </row>
    <row r="32" ht="15.75" customHeight="1">
      <c r="B32" s="1" t="s">
        <v>0</v>
      </c>
      <c r="C32" s="2"/>
      <c r="D32" s="3"/>
      <c r="E32" s="4"/>
      <c r="F32" s="4"/>
      <c r="G32" s="4"/>
    </row>
    <row r="33" ht="15.75" customHeight="1">
      <c r="B33" s="6" t="s">
        <v>272</v>
      </c>
      <c r="C33" s="2"/>
      <c r="D33" s="3"/>
      <c r="E33" s="7"/>
      <c r="F33" s="7"/>
      <c r="G33" s="7"/>
    </row>
    <row r="34" ht="15.75" customHeight="1">
      <c r="B34" s="8" t="s">
        <v>157</v>
      </c>
      <c r="C34" s="2"/>
      <c r="D34" s="3"/>
      <c r="E34" s="9"/>
      <c r="F34" s="9"/>
      <c r="G34" s="9"/>
    </row>
    <row r="35" ht="15.75" customHeight="1">
      <c r="B35" s="11" t="s">
        <v>3</v>
      </c>
      <c r="C35" s="11" t="s">
        <v>4</v>
      </c>
      <c r="D35" s="11" t="s">
        <v>5</v>
      </c>
      <c r="E35" s="11" t="s">
        <v>6</v>
      </c>
      <c r="F35" s="11" t="s">
        <v>7</v>
      </c>
      <c r="G35" s="12" t="s">
        <v>8</v>
      </c>
    </row>
    <row r="36" ht="15.75" customHeight="1">
      <c r="B36" s="14" t="s">
        <v>166</v>
      </c>
      <c r="C36" s="15">
        <v>405.0</v>
      </c>
      <c r="D36" s="16" t="s">
        <v>275</v>
      </c>
      <c r="E36" s="17">
        <v>61250.0</v>
      </c>
      <c r="F36" s="17">
        <v>35000.0</v>
      </c>
      <c r="G36" s="17">
        <v>26250.0</v>
      </c>
    </row>
    <row r="37" ht="15.75" customHeight="1">
      <c r="B37" s="20" t="s">
        <v>19</v>
      </c>
      <c r="C37" s="2"/>
      <c r="D37" s="3"/>
      <c r="E37" s="21">
        <f>SUM(E36)</f>
        <v>61250</v>
      </c>
      <c r="F37" s="21">
        <f>SUM(F34:F36)</f>
        <v>35000</v>
      </c>
      <c r="G37" s="74">
        <f>SUM(G36)</f>
        <v>26250</v>
      </c>
      <c r="H37" s="23" t="s">
        <v>20</v>
      </c>
    </row>
    <row r="38" ht="15.75" customHeight="1">
      <c r="B38" s="20" t="s">
        <v>218</v>
      </c>
      <c r="C38" s="2"/>
      <c r="D38" s="3"/>
      <c r="E38" s="21"/>
      <c r="F38" s="21">
        <f>SUM(F37)</f>
        <v>35000</v>
      </c>
      <c r="G38" s="2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2">
    <mergeCell ref="B3:D3"/>
    <mergeCell ref="E3:E5"/>
    <mergeCell ref="F3:F5"/>
    <mergeCell ref="G3:G5"/>
    <mergeCell ref="B4:D4"/>
    <mergeCell ref="B5:D5"/>
    <mergeCell ref="B10:D10"/>
    <mergeCell ref="B11:D11"/>
    <mergeCell ref="B14:D14"/>
    <mergeCell ref="E14:E16"/>
    <mergeCell ref="F14:F16"/>
    <mergeCell ref="G14:G16"/>
    <mergeCell ref="B15:D15"/>
    <mergeCell ref="B16:D16"/>
    <mergeCell ref="B19:D19"/>
    <mergeCell ref="B20:D20"/>
    <mergeCell ref="B23:D23"/>
    <mergeCell ref="E23:E25"/>
    <mergeCell ref="F23:F25"/>
    <mergeCell ref="G23:G25"/>
    <mergeCell ref="B24:D24"/>
    <mergeCell ref="B33:D33"/>
    <mergeCell ref="B34:D34"/>
    <mergeCell ref="B37:D37"/>
    <mergeCell ref="B38:D38"/>
    <mergeCell ref="B25:D25"/>
    <mergeCell ref="B28:D28"/>
    <mergeCell ref="B29:D29"/>
    <mergeCell ref="B32:D32"/>
    <mergeCell ref="E32:E34"/>
    <mergeCell ref="F32:F34"/>
    <mergeCell ref="G32:G3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5.71"/>
    <col customWidth="1" min="3" max="3" width="7.57"/>
    <col customWidth="1" min="4" max="4" width="20.86"/>
    <col customWidth="1" min="5" max="5" width="14.71"/>
    <col customWidth="1" min="6" max="6" width="21.86"/>
    <col customWidth="1" min="7" max="7" width="22.86"/>
    <col customWidth="1" min="8" max="8" width="16.86"/>
    <col customWidth="1" min="9" max="10" width="10.71"/>
    <col customWidth="1" min="11" max="11" width="21.43"/>
    <col customWidth="1" min="12" max="12" width="13.86"/>
    <col customWidth="1" min="13" max="14" width="10.71"/>
    <col customWidth="1" min="15" max="15" width="18.71"/>
    <col customWidth="1" min="16" max="16" width="16.86"/>
    <col customWidth="1" min="17" max="26" width="10.71"/>
  </cols>
  <sheetData>
    <row r="2">
      <c r="B2" s="1" t="s">
        <v>0</v>
      </c>
      <c r="C2" s="2"/>
      <c r="D2" s="3"/>
      <c r="E2" s="4"/>
      <c r="F2" s="4"/>
      <c r="G2" s="4"/>
      <c r="H2" s="5"/>
      <c r="J2" s="5"/>
      <c r="K2" s="5"/>
      <c r="L2" s="5"/>
      <c r="N2" s="5"/>
      <c r="O2" s="5"/>
      <c r="P2" s="5"/>
    </row>
    <row r="3">
      <c r="B3" s="6" t="s">
        <v>276</v>
      </c>
      <c r="C3" s="2"/>
      <c r="D3" s="3"/>
      <c r="E3" s="7"/>
      <c r="F3" s="7"/>
      <c r="G3" s="7"/>
      <c r="H3" s="5"/>
      <c r="J3" s="5"/>
      <c r="K3" s="5"/>
      <c r="L3" s="5"/>
      <c r="N3" s="5"/>
      <c r="O3" s="5"/>
      <c r="P3" s="5"/>
    </row>
    <row r="4">
      <c r="B4" s="8" t="s">
        <v>22</v>
      </c>
      <c r="C4" s="2"/>
      <c r="D4" s="3"/>
      <c r="E4" s="9"/>
      <c r="F4" s="9"/>
      <c r="G4" s="9"/>
      <c r="H4" s="10"/>
      <c r="J4" s="10"/>
      <c r="K4" s="10"/>
      <c r="L4" s="10"/>
      <c r="N4" s="10"/>
      <c r="O4" s="10"/>
      <c r="P4" s="10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  <c r="H5" s="13"/>
      <c r="J5" s="13"/>
      <c r="K5" s="13"/>
      <c r="L5" s="13"/>
      <c r="N5" s="13"/>
      <c r="O5" s="13"/>
      <c r="P5" s="13"/>
    </row>
    <row r="6">
      <c r="B6" s="14" t="s">
        <v>23</v>
      </c>
      <c r="C6" s="15">
        <v>396.0</v>
      </c>
      <c r="D6" s="16" t="s">
        <v>277</v>
      </c>
      <c r="E6" s="17">
        <v>166250.0</v>
      </c>
      <c r="F6" s="17">
        <v>95000.0</v>
      </c>
      <c r="G6" s="17">
        <v>71250.0</v>
      </c>
      <c r="H6" s="27"/>
      <c r="J6" s="19"/>
      <c r="L6" s="27"/>
      <c r="N6" s="19"/>
      <c r="P6" s="27"/>
    </row>
    <row r="7">
      <c r="B7" s="14" t="s">
        <v>34</v>
      </c>
      <c r="C7" s="15">
        <v>402.0</v>
      </c>
      <c r="D7" s="16" t="s">
        <v>278</v>
      </c>
      <c r="E7" s="17">
        <v>140000.0</v>
      </c>
      <c r="F7" s="17">
        <v>80000.0</v>
      </c>
      <c r="G7" s="17">
        <v>60000.0</v>
      </c>
      <c r="H7" s="27"/>
      <c r="J7" s="19"/>
      <c r="L7" s="27"/>
      <c r="N7" s="19"/>
      <c r="P7" s="27"/>
    </row>
    <row r="8">
      <c r="B8" s="14" t="s">
        <v>42</v>
      </c>
      <c r="C8" s="15">
        <v>377.0</v>
      </c>
      <c r="D8" s="16" t="s">
        <v>279</v>
      </c>
      <c r="E8" s="17">
        <v>166250.0</v>
      </c>
      <c r="F8" s="17">
        <v>95000.0</v>
      </c>
      <c r="G8" s="17">
        <v>71250.0</v>
      </c>
      <c r="H8" s="27"/>
      <c r="J8" s="19"/>
      <c r="L8" s="27"/>
      <c r="N8" s="19"/>
      <c r="P8" s="27"/>
    </row>
    <row r="9">
      <c r="B9" s="14" t="s">
        <v>42</v>
      </c>
      <c r="C9" s="15">
        <v>402.0</v>
      </c>
      <c r="D9" s="16" t="s">
        <v>278</v>
      </c>
      <c r="E9" s="17">
        <v>148750.0</v>
      </c>
      <c r="F9" s="17">
        <v>80000.0</v>
      </c>
      <c r="G9" s="17">
        <v>63750.0</v>
      </c>
      <c r="H9" s="27"/>
      <c r="J9" s="19"/>
      <c r="L9" s="27"/>
      <c r="N9" s="19"/>
      <c r="P9" s="27"/>
    </row>
    <row r="10">
      <c r="B10" s="14" t="s">
        <v>42</v>
      </c>
      <c r="C10" s="15">
        <v>402.0</v>
      </c>
      <c r="D10" s="16" t="s">
        <v>278</v>
      </c>
      <c r="E10" s="17">
        <v>148750.0</v>
      </c>
      <c r="F10" s="17">
        <v>80000.0</v>
      </c>
      <c r="G10" s="17">
        <v>63750.0</v>
      </c>
      <c r="H10" s="27"/>
      <c r="J10" s="19"/>
      <c r="L10" s="27"/>
      <c r="N10" s="19"/>
      <c r="P10" s="27"/>
    </row>
    <row r="11">
      <c r="B11" s="14" t="s">
        <v>43</v>
      </c>
      <c r="C11" s="15">
        <v>402.0</v>
      </c>
      <c r="D11" s="16" t="s">
        <v>278</v>
      </c>
      <c r="E11" s="17">
        <v>148750.0</v>
      </c>
      <c r="F11" s="17">
        <v>85000.0</v>
      </c>
      <c r="G11" s="17">
        <v>63750.0</v>
      </c>
      <c r="H11" s="27"/>
      <c r="J11" s="19"/>
      <c r="L11" s="27"/>
      <c r="N11" s="19"/>
      <c r="P11" s="27"/>
    </row>
    <row r="12">
      <c r="B12" s="14" t="s">
        <v>54</v>
      </c>
      <c r="C12" s="15">
        <v>382.0</v>
      </c>
      <c r="D12" s="16" t="s">
        <v>280</v>
      </c>
      <c r="E12" s="17">
        <v>122500.0</v>
      </c>
      <c r="F12" s="17">
        <v>70000.0</v>
      </c>
      <c r="G12" s="17">
        <v>52500.0</v>
      </c>
      <c r="H12" s="27"/>
      <c r="J12" s="19"/>
      <c r="L12" s="27"/>
      <c r="N12" s="19"/>
      <c r="P12" s="27"/>
    </row>
    <row r="13">
      <c r="B13" s="14" t="s">
        <v>60</v>
      </c>
      <c r="C13" s="15">
        <v>396.0</v>
      </c>
      <c r="D13" s="16" t="s">
        <v>281</v>
      </c>
      <c r="E13" s="17">
        <v>131250.0</v>
      </c>
      <c r="F13" s="17">
        <v>75000.0</v>
      </c>
      <c r="G13" s="17">
        <v>56250.0</v>
      </c>
      <c r="H13" s="26"/>
      <c r="J13" s="10"/>
      <c r="K13" s="10"/>
      <c r="L13" s="26"/>
      <c r="N13" s="19"/>
      <c r="O13" s="19"/>
      <c r="P13" s="27"/>
    </row>
    <row r="14">
      <c r="B14" s="20" t="s">
        <v>216</v>
      </c>
      <c r="C14" s="2"/>
      <c r="D14" s="3"/>
      <c r="E14" s="21">
        <f t="shared" ref="E14:G14" si="1">SUM(E6:E13)</f>
        <v>1172500</v>
      </c>
      <c r="F14" s="21">
        <f t="shared" si="1"/>
        <v>660000</v>
      </c>
      <c r="G14" s="22">
        <f t="shared" si="1"/>
        <v>502500</v>
      </c>
      <c r="H14" s="23" t="s">
        <v>20</v>
      </c>
      <c r="N14" s="5"/>
      <c r="O14" s="5"/>
      <c r="P14" s="26"/>
    </row>
    <row r="15">
      <c r="B15" s="20" t="s">
        <v>218</v>
      </c>
      <c r="C15" s="2"/>
      <c r="D15" s="3"/>
      <c r="E15" s="21"/>
      <c r="F15" s="21">
        <f>SUM(F14)</f>
        <v>660000</v>
      </c>
      <c r="G15" s="21"/>
      <c r="H15" s="5"/>
    </row>
    <row r="16">
      <c r="G16" s="5"/>
      <c r="H16" s="5"/>
    </row>
    <row r="17">
      <c r="B17" s="5"/>
      <c r="C17" s="5"/>
      <c r="D17" s="5"/>
      <c r="G17" s="10"/>
      <c r="H17" s="10"/>
    </row>
    <row r="18">
      <c r="B18" s="1" t="s">
        <v>0</v>
      </c>
      <c r="C18" s="2"/>
      <c r="D18" s="3"/>
      <c r="E18" s="4"/>
      <c r="F18" s="4"/>
      <c r="G18" s="4"/>
      <c r="H18" s="13"/>
    </row>
    <row r="19">
      <c r="B19" s="6" t="s">
        <v>276</v>
      </c>
      <c r="C19" s="2"/>
      <c r="D19" s="3"/>
      <c r="E19" s="7"/>
      <c r="F19" s="7"/>
      <c r="G19" s="7"/>
      <c r="H19" s="27"/>
    </row>
    <row r="20">
      <c r="B20" s="8" t="s">
        <v>64</v>
      </c>
      <c r="C20" s="2"/>
      <c r="D20" s="3"/>
      <c r="E20" s="9"/>
      <c r="F20" s="9"/>
      <c r="G20" s="9"/>
      <c r="H20" s="27"/>
    </row>
    <row r="21">
      <c r="B21" s="11" t="s">
        <v>3</v>
      </c>
      <c r="C21" s="11" t="s">
        <v>4</v>
      </c>
      <c r="D21" s="11" t="s">
        <v>5</v>
      </c>
      <c r="E21" s="11" t="s">
        <v>6</v>
      </c>
      <c r="F21" s="11" t="s">
        <v>7</v>
      </c>
      <c r="G21" s="12" t="s">
        <v>8</v>
      </c>
      <c r="H21" s="26"/>
    </row>
    <row r="22" ht="15.75" customHeight="1">
      <c r="B22" s="14" t="s">
        <v>73</v>
      </c>
      <c r="C22" s="15">
        <v>402.0</v>
      </c>
      <c r="D22" s="16" t="s">
        <v>278</v>
      </c>
      <c r="E22" s="17">
        <v>148750.0</v>
      </c>
      <c r="F22" s="17">
        <v>85000.0</v>
      </c>
      <c r="G22" s="17">
        <v>63750.0</v>
      </c>
    </row>
    <row r="23" ht="15.75" customHeight="1">
      <c r="B23" s="14" t="s">
        <v>96</v>
      </c>
      <c r="C23" s="15">
        <v>402.0</v>
      </c>
      <c r="D23" s="16" t="s">
        <v>278</v>
      </c>
      <c r="E23" s="17">
        <v>148750.0</v>
      </c>
      <c r="F23" s="17">
        <v>85000.0</v>
      </c>
      <c r="G23" s="17">
        <v>63750.0</v>
      </c>
    </row>
    <row r="24" ht="15.75" customHeight="1">
      <c r="B24" s="20" t="s">
        <v>19</v>
      </c>
      <c r="C24" s="2"/>
      <c r="D24" s="3"/>
      <c r="E24" s="21">
        <f t="shared" ref="E24:G24" si="2">SUM(E22:E23)</f>
        <v>297500</v>
      </c>
      <c r="F24" s="21">
        <f t="shared" si="2"/>
        <v>170000</v>
      </c>
      <c r="G24" s="22">
        <f t="shared" si="2"/>
        <v>127500</v>
      </c>
      <c r="H24" s="23" t="s">
        <v>20</v>
      </c>
    </row>
    <row r="25" ht="15.75" customHeight="1">
      <c r="B25" s="20" t="s">
        <v>218</v>
      </c>
      <c r="C25" s="2"/>
      <c r="D25" s="3"/>
      <c r="E25" s="21"/>
      <c r="F25" s="21">
        <f>SUM(F24)</f>
        <v>170000</v>
      </c>
      <c r="G25" s="21"/>
    </row>
    <row r="26" ht="15.75" customHeight="1">
      <c r="B26" s="5"/>
      <c r="C26" s="5"/>
      <c r="D26" s="5"/>
    </row>
    <row r="27" ht="15.75" customHeight="1">
      <c r="B27" s="5"/>
      <c r="C27" s="5"/>
      <c r="D27" s="5"/>
    </row>
    <row r="28" ht="15.75" customHeight="1">
      <c r="B28" s="1" t="s">
        <v>0</v>
      </c>
      <c r="C28" s="2"/>
      <c r="D28" s="3"/>
      <c r="E28" s="28"/>
      <c r="F28" s="28"/>
      <c r="G28" s="28"/>
    </row>
    <row r="29" ht="15.75" customHeight="1">
      <c r="B29" s="6" t="s">
        <v>276</v>
      </c>
      <c r="C29" s="2"/>
      <c r="D29" s="3"/>
      <c r="E29" s="7"/>
      <c r="F29" s="7"/>
      <c r="G29" s="7"/>
    </row>
    <row r="30" ht="15.75" customHeight="1">
      <c r="B30" s="8" t="s">
        <v>101</v>
      </c>
      <c r="C30" s="2"/>
      <c r="D30" s="3"/>
      <c r="E30" s="9"/>
      <c r="F30" s="9"/>
      <c r="G30" s="9"/>
    </row>
    <row r="31" ht="15.75" customHeight="1">
      <c r="B31" s="47" t="s">
        <v>3</v>
      </c>
      <c r="C31" s="47" t="s">
        <v>4</v>
      </c>
      <c r="D31" s="47" t="s">
        <v>5</v>
      </c>
      <c r="E31" s="47" t="s">
        <v>6</v>
      </c>
      <c r="F31" s="47" t="s">
        <v>7</v>
      </c>
      <c r="G31" s="48" t="s">
        <v>8</v>
      </c>
    </row>
    <row r="32" ht="15.75" customHeight="1">
      <c r="B32" s="14" t="s">
        <v>203</v>
      </c>
      <c r="C32" s="15"/>
      <c r="D32" s="16" t="s">
        <v>282</v>
      </c>
      <c r="E32" s="17">
        <v>192500.0</v>
      </c>
      <c r="F32" s="17">
        <v>110000.0</v>
      </c>
      <c r="G32" s="17">
        <v>82500.0</v>
      </c>
    </row>
    <row r="33" ht="15.75" customHeight="1">
      <c r="B33" s="14" t="s">
        <v>123</v>
      </c>
      <c r="C33" s="15">
        <v>402.0</v>
      </c>
      <c r="D33" s="16" t="s">
        <v>283</v>
      </c>
      <c r="E33" s="17">
        <v>148750.0</v>
      </c>
      <c r="F33" s="17">
        <v>85000.0</v>
      </c>
      <c r="G33" s="17">
        <v>63750.0</v>
      </c>
    </row>
    <row r="34" ht="15.75" customHeight="1">
      <c r="B34" s="20" t="s">
        <v>19</v>
      </c>
      <c r="C34" s="2"/>
      <c r="D34" s="3"/>
      <c r="E34" s="21">
        <f t="shared" ref="E34:G34" si="3">SUM(E32:E33)</f>
        <v>341250</v>
      </c>
      <c r="F34" s="21">
        <f t="shared" si="3"/>
        <v>195000</v>
      </c>
      <c r="G34" s="22">
        <f t="shared" si="3"/>
        <v>146250</v>
      </c>
      <c r="H34" s="23" t="s">
        <v>20</v>
      </c>
    </row>
    <row r="35" ht="15.75" customHeight="1">
      <c r="B35" s="20" t="s">
        <v>218</v>
      </c>
      <c r="C35" s="2"/>
      <c r="D35" s="3"/>
      <c r="E35" s="21"/>
      <c r="F35" s="21">
        <f>SUM(F34)</f>
        <v>195000</v>
      </c>
      <c r="G35" s="21"/>
    </row>
    <row r="36" ht="15.75" customHeight="1">
      <c r="B36" s="5"/>
      <c r="C36" s="5"/>
      <c r="D36" s="5"/>
    </row>
    <row r="37" ht="15.75" customHeight="1">
      <c r="B37" s="5"/>
      <c r="C37" s="5"/>
      <c r="D37" s="5"/>
    </row>
    <row r="38" ht="15.75" customHeight="1">
      <c r="B38" s="1" t="s">
        <v>0</v>
      </c>
      <c r="C38" s="2"/>
      <c r="D38" s="3"/>
      <c r="E38" s="28"/>
      <c r="F38" s="28"/>
      <c r="G38" s="28"/>
    </row>
    <row r="39" ht="15.75" customHeight="1">
      <c r="B39" s="6" t="s">
        <v>276</v>
      </c>
      <c r="C39" s="2"/>
      <c r="D39" s="3"/>
      <c r="E39" s="7"/>
      <c r="F39" s="7"/>
      <c r="G39" s="7"/>
    </row>
    <row r="40" ht="15.75" customHeight="1">
      <c r="B40" s="8" t="s">
        <v>126</v>
      </c>
      <c r="C40" s="2"/>
      <c r="D40" s="3"/>
      <c r="E40" s="9"/>
      <c r="F40" s="9"/>
      <c r="G40" s="9"/>
    </row>
    <row r="41" ht="15.75" customHeight="1">
      <c r="B41" s="47" t="s">
        <v>3</v>
      </c>
      <c r="C41" s="47" t="s">
        <v>4</v>
      </c>
      <c r="D41" s="47" t="s">
        <v>5</v>
      </c>
      <c r="E41" s="47" t="s">
        <v>6</v>
      </c>
      <c r="F41" s="47" t="s">
        <v>7</v>
      </c>
      <c r="G41" s="48" t="s">
        <v>8</v>
      </c>
    </row>
    <row r="42" ht="15.75" customHeight="1">
      <c r="B42" s="14" t="s">
        <v>127</v>
      </c>
      <c r="C42" s="15">
        <v>402.0</v>
      </c>
      <c r="D42" s="16" t="s">
        <v>278</v>
      </c>
      <c r="E42" s="17">
        <v>148750.0</v>
      </c>
      <c r="F42" s="17">
        <v>85000.0</v>
      </c>
      <c r="G42" s="17">
        <v>63750.0</v>
      </c>
    </row>
    <row r="43" ht="15.75" customHeight="1">
      <c r="B43" s="14" t="s">
        <v>127</v>
      </c>
      <c r="C43" s="15">
        <v>402.0</v>
      </c>
      <c r="D43" s="16" t="s">
        <v>278</v>
      </c>
      <c r="E43" s="17">
        <v>148750.0</v>
      </c>
      <c r="F43" s="17">
        <v>85000.0</v>
      </c>
      <c r="G43" s="17">
        <v>63750.0</v>
      </c>
    </row>
    <row r="44" ht="15.75" customHeight="1">
      <c r="B44" s="14" t="s">
        <v>127</v>
      </c>
      <c r="C44" s="15">
        <v>402.0</v>
      </c>
      <c r="D44" s="16" t="s">
        <v>278</v>
      </c>
      <c r="E44" s="17">
        <v>148750.0</v>
      </c>
      <c r="F44" s="17">
        <v>85000.0</v>
      </c>
      <c r="G44" s="17">
        <v>63750.0</v>
      </c>
    </row>
    <row r="45" ht="15.75" customHeight="1">
      <c r="B45" s="14" t="s">
        <v>284</v>
      </c>
      <c r="C45" s="15">
        <v>394.0</v>
      </c>
      <c r="D45" s="16" t="s">
        <v>285</v>
      </c>
      <c r="E45" s="17">
        <v>192500.0</v>
      </c>
      <c r="F45" s="17">
        <v>110000.0</v>
      </c>
      <c r="G45" s="17">
        <v>82500.0</v>
      </c>
      <c r="H45" s="5"/>
      <c r="I45" s="5"/>
    </row>
    <row r="46" ht="15.75" customHeight="1">
      <c r="B46" s="14" t="s">
        <v>129</v>
      </c>
      <c r="C46" s="15">
        <v>394.0</v>
      </c>
      <c r="D46" s="16" t="s">
        <v>286</v>
      </c>
      <c r="E46" s="17">
        <v>192500.0</v>
      </c>
      <c r="F46" s="17">
        <v>110000.0</v>
      </c>
      <c r="G46" s="17">
        <v>82500.0</v>
      </c>
      <c r="H46" s="5"/>
      <c r="I46" s="5"/>
    </row>
    <row r="47" ht="15.75" customHeight="1">
      <c r="B47" s="14" t="s">
        <v>129</v>
      </c>
      <c r="C47" s="15">
        <v>402.0</v>
      </c>
      <c r="D47" s="16" t="s">
        <v>278</v>
      </c>
      <c r="E47" s="17">
        <v>148750.0</v>
      </c>
      <c r="F47" s="17">
        <v>85000.0</v>
      </c>
      <c r="G47" s="17">
        <v>63750.0</v>
      </c>
      <c r="H47" s="10"/>
      <c r="I47" s="10"/>
    </row>
    <row r="48" ht="15.75" customHeight="1">
      <c r="B48" s="14" t="s">
        <v>208</v>
      </c>
      <c r="C48" s="15">
        <v>394.0</v>
      </c>
      <c r="D48" s="16" t="s">
        <v>286</v>
      </c>
      <c r="E48" s="17">
        <v>192500.0</v>
      </c>
      <c r="F48" s="17">
        <v>110000.0</v>
      </c>
      <c r="G48" s="17">
        <v>82500.0</v>
      </c>
      <c r="H48" s="13"/>
      <c r="I48" s="13"/>
    </row>
    <row r="49" ht="15.75" customHeight="1">
      <c r="B49" s="14" t="s">
        <v>136</v>
      </c>
      <c r="C49" s="15">
        <v>402.0</v>
      </c>
      <c r="D49" s="16" t="s">
        <v>278</v>
      </c>
      <c r="E49" s="17">
        <v>148750.0</v>
      </c>
      <c r="F49" s="17">
        <v>85000.0</v>
      </c>
      <c r="G49" s="17">
        <v>63750.0</v>
      </c>
      <c r="I49" s="27"/>
    </row>
    <row r="50" ht="15.75" customHeight="1">
      <c r="B50" s="14" t="s">
        <v>140</v>
      </c>
      <c r="C50" s="15">
        <v>402.0</v>
      </c>
      <c r="D50" s="16" t="s">
        <v>278</v>
      </c>
      <c r="E50" s="17">
        <v>148750.0</v>
      </c>
      <c r="F50" s="17">
        <v>85000.0</v>
      </c>
      <c r="G50" s="17">
        <v>63750.0</v>
      </c>
      <c r="H50" s="19"/>
      <c r="I50" s="27"/>
    </row>
    <row r="51" ht="15.75" customHeight="1">
      <c r="B51" s="14" t="s">
        <v>140</v>
      </c>
      <c r="C51" s="15">
        <v>402.0</v>
      </c>
      <c r="D51" s="16" t="s">
        <v>278</v>
      </c>
      <c r="E51" s="17">
        <v>148750.0</v>
      </c>
      <c r="F51" s="17">
        <v>85000.0</v>
      </c>
      <c r="G51" s="17">
        <v>63750.0</v>
      </c>
      <c r="H51" s="5"/>
      <c r="I51" s="26"/>
    </row>
    <row r="52" ht="15.75" customHeight="1">
      <c r="B52" s="14" t="s">
        <v>140</v>
      </c>
      <c r="C52" s="15">
        <v>402.0</v>
      </c>
      <c r="D52" s="16" t="s">
        <v>278</v>
      </c>
      <c r="E52" s="17">
        <v>148750.0</v>
      </c>
      <c r="F52" s="17">
        <v>85000.0</v>
      </c>
      <c r="G52" s="17">
        <v>63750.0</v>
      </c>
      <c r="H52" s="13"/>
      <c r="I52" s="13"/>
    </row>
    <row r="53" ht="15.75" customHeight="1">
      <c r="B53" s="14" t="s">
        <v>140</v>
      </c>
      <c r="C53" s="15">
        <v>402.0</v>
      </c>
      <c r="D53" s="16" t="s">
        <v>278</v>
      </c>
      <c r="E53" s="17">
        <v>148750.0</v>
      </c>
      <c r="F53" s="17">
        <v>85000.0</v>
      </c>
      <c r="G53" s="17">
        <v>63750.0</v>
      </c>
      <c r="H53" s="5"/>
      <c r="I53" s="5"/>
    </row>
    <row r="54" ht="15.75" customHeight="1">
      <c r="B54" s="14" t="s">
        <v>142</v>
      </c>
      <c r="C54" s="15">
        <v>378.0</v>
      </c>
      <c r="D54" s="16" t="s">
        <v>287</v>
      </c>
      <c r="E54" s="17">
        <v>175000.0</v>
      </c>
      <c r="F54" s="17">
        <v>100000.0</v>
      </c>
      <c r="G54" s="17">
        <v>75000.0</v>
      </c>
      <c r="H54" s="5"/>
      <c r="I54" s="5"/>
    </row>
    <row r="55" ht="15.75" customHeight="1">
      <c r="B55" s="14" t="s">
        <v>142</v>
      </c>
      <c r="C55" s="15">
        <v>402.0</v>
      </c>
      <c r="D55" s="16" t="s">
        <v>278</v>
      </c>
      <c r="E55" s="17">
        <v>148750.0</v>
      </c>
      <c r="F55" s="17">
        <v>85000.0</v>
      </c>
      <c r="G55" s="17">
        <v>63750.0</v>
      </c>
      <c r="H55" s="10"/>
      <c r="I55" s="10"/>
    </row>
    <row r="56" ht="15.75" customHeight="1">
      <c r="B56" s="14" t="s">
        <v>147</v>
      </c>
      <c r="C56" s="15">
        <v>394.0</v>
      </c>
      <c r="D56" s="16" t="s">
        <v>286</v>
      </c>
      <c r="E56" s="17">
        <v>192500.0</v>
      </c>
      <c r="F56" s="17">
        <v>110000.0</v>
      </c>
      <c r="G56" s="17">
        <v>82500.0</v>
      </c>
      <c r="H56" s="13"/>
      <c r="I56" s="13"/>
    </row>
    <row r="57" ht="15.75" customHeight="1">
      <c r="B57" s="14" t="s">
        <v>147</v>
      </c>
      <c r="C57" s="15">
        <v>394.0</v>
      </c>
      <c r="D57" s="16" t="s">
        <v>286</v>
      </c>
      <c r="E57" s="17">
        <v>192500.0</v>
      </c>
      <c r="F57" s="17">
        <v>110000.0</v>
      </c>
      <c r="G57" s="17">
        <v>82500.0</v>
      </c>
      <c r="I57" s="27"/>
    </row>
    <row r="58" ht="15.75" customHeight="1">
      <c r="B58" s="14" t="s">
        <v>151</v>
      </c>
      <c r="C58" s="15">
        <v>394.0</v>
      </c>
      <c r="D58" s="16" t="s">
        <v>286</v>
      </c>
      <c r="E58" s="17">
        <v>192500.0</v>
      </c>
      <c r="F58" s="17">
        <v>110000.0</v>
      </c>
      <c r="G58" s="17">
        <v>82500.0</v>
      </c>
      <c r="H58" s="19"/>
      <c r="I58" s="27"/>
    </row>
    <row r="59" ht="15.75" customHeight="1">
      <c r="B59" s="20" t="s">
        <v>216</v>
      </c>
      <c r="C59" s="2"/>
      <c r="D59" s="3"/>
      <c r="E59" s="21">
        <f t="shared" ref="E59:G59" si="4">SUM(E42:E58)</f>
        <v>2817500</v>
      </c>
      <c r="F59" s="21">
        <f t="shared" si="4"/>
        <v>1610000</v>
      </c>
      <c r="G59" s="22">
        <f t="shared" si="4"/>
        <v>1207500</v>
      </c>
      <c r="H59" s="23" t="s">
        <v>20</v>
      </c>
      <c r="I59" s="26"/>
    </row>
    <row r="60" ht="15.75" customHeight="1">
      <c r="B60" s="20" t="s">
        <v>218</v>
      </c>
      <c r="C60" s="2"/>
      <c r="D60" s="3"/>
      <c r="E60" s="21"/>
      <c r="F60" s="21">
        <f>SUM(F59)</f>
        <v>1610000</v>
      </c>
      <c r="G60" s="21"/>
    </row>
    <row r="61" ht="15.75" customHeight="1">
      <c r="B61" s="5"/>
      <c r="C61" s="5"/>
      <c r="D61" s="5"/>
      <c r="H61" s="5"/>
      <c r="I61" s="5"/>
    </row>
    <row r="62" ht="15.75" customHeight="1">
      <c r="B62" s="10"/>
      <c r="C62" s="10"/>
      <c r="D62" s="10"/>
      <c r="H62" s="5"/>
      <c r="I62" s="5"/>
    </row>
    <row r="63" ht="15.75" customHeight="1">
      <c r="B63" s="1" t="s">
        <v>0</v>
      </c>
      <c r="C63" s="2"/>
      <c r="D63" s="3"/>
      <c r="E63" s="28"/>
      <c r="F63" s="28"/>
      <c r="G63" s="28"/>
      <c r="H63" s="10"/>
      <c r="I63" s="10"/>
    </row>
    <row r="64" ht="15.75" customHeight="1">
      <c r="B64" s="6" t="s">
        <v>276</v>
      </c>
      <c r="C64" s="2"/>
      <c r="D64" s="3"/>
      <c r="E64" s="7"/>
      <c r="F64" s="7"/>
      <c r="G64" s="7"/>
      <c r="H64" s="13"/>
      <c r="I64" s="13"/>
    </row>
    <row r="65" ht="15.75" customHeight="1">
      <c r="B65" s="8" t="s">
        <v>157</v>
      </c>
      <c r="C65" s="2"/>
      <c r="D65" s="3"/>
      <c r="E65" s="9"/>
      <c r="F65" s="9"/>
      <c r="G65" s="9"/>
      <c r="I65" s="27"/>
    </row>
    <row r="66" ht="15.75" customHeight="1">
      <c r="B66" s="47" t="s">
        <v>3</v>
      </c>
      <c r="C66" s="47" t="s">
        <v>4</v>
      </c>
      <c r="D66" s="47" t="s">
        <v>5</v>
      </c>
      <c r="E66" s="47" t="s">
        <v>6</v>
      </c>
      <c r="F66" s="47" t="s">
        <v>7</v>
      </c>
      <c r="G66" s="48" t="s">
        <v>8</v>
      </c>
      <c r="H66" s="19"/>
      <c r="I66" s="27"/>
    </row>
    <row r="67" ht="15.75" customHeight="1">
      <c r="B67" s="14" t="s">
        <v>163</v>
      </c>
      <c r="C67" s="15">
        <v>402.0</v>
      </c>
      <c r="D67" s="16" t="s">
        <v>278</v>
      </c>
      <c r="E67" s="17">
        <v>148750.0</v>
      </c>
      <c r="F67" s="17">
        <v>85000.0</v>
      </c>
      <c r="G67" s="17">
        <v>63750.0</v>
      </c>
      <c r="H67" s="19"/>
      <c r="I67" s="27"/>
    </row>
    <row r="68" ht="15.75" customHeight="1">
      <c r="B68" s="14" t="s">
        <v>166</v>
      </c>
      <c r="C68" s="15">
        <v>402.0</v>
      </c>
      <c r="D68" s="16" t="s">
        <v>288</v>
      </c>
      <c r="E68" s="17">
        <v>148750.0</v>
      </c>
      <c r="F68" s="17">
        <v>85000.0</v>
      </c>
      <c r="G68" s="17">
        <v>63750.0</v>
      </c>
      <c r="H68" s="5"/>
      <c r="I68" s="26"/>
    </row>
    <row r="69" ht="15.75" customHeight="1">
      <c r="B69" s="20" t="s">
        <v>216</v>
      </c>
      <c r="C69" s="2"/>
      <c r="D69" s="3"/>
      <c r="E69" s="21">
        <f t="shared" ref="E69:G69" si="5">SUM(E67:E68)</f>
        <v>297500</v>
      </c>
      <c r="F69" s="21">
        <f t="shared" si="5"/>
        <v>170000</v>
      </c>
      <c r="G69" s="22">
        <f t="shared" si="5"/>
        <v>127500</v>
      </c>
      <c r="H69" s="23" t="s">
        <v>20</v>
      </c>
    </row>
    <row r="70" ht="15.75" customHeight="1">
      <c r="B70" s="20" t="s">
        <v>218</v>
      </c>
      <c r="C70" s="2"/>
      <c r="D70" s="3"/>
      <c r="E70" s="21"/>
      <c r="F70" s="21">
        <f>SUM(F69)</f>
        <v>170000</v>
      </c>
      <c r="G70" s="21"/>
      <c r="I70" s="5"/>
    </row>
    <row r="71" ht="15.75" customHeight="1">
      <c r="B71" s="13"/>
      <c r="C71" s="13"/>
      <c r="D71" s="13"/>
      <c r="H71" s="5"/>
      <c r="I71" s="5"/>
    </row>
    <row r="72" ht="15.75" customHeight="1">
      <c r="B72" s="19"/>
      <c r="D72" s="27"/>
      <c r="H72" s="10"/>
      <c r="I72" s="10"/>
    </row>
    <row r="73" ht="15.75" customHeight="1">
      <c r="B73" s="19"/>
      <c r="D73" s="27"/>
      <c r="H73" s="13"/>
      <c r="I73" s="13"/>
    </row>
    <row r="74" ht="15.75" customHeight="1">
      <c r="B74" s="32"/>
      <c r="C74" s="32"/>
      <c r="D74" s="50"/>
      <c r="I74" s="27"/>
    </row>
    <row r="75" ht="15.75" customHeight="1">
      <c r="B75" s="19"/>
      <c r="C75" s="19"/>
      <c r="D75" s="27"/>
      <c r="H75" s="19"/>
      <c r="I75" s="27"/>
    </row>
    <row r="76" ht="15.75" customHeight="1">
      <c r="B76" s="10"/>
      <c r="C76" s="10"/>
      <c r="D76" s="26"/>
      <c r="H76" s="5"/>
      <c r="I76" s="26"/>
    </row>
    <row r="77" ht="15.75" customHeight="1">
      <c r="B77" s="13"/>
      <c r="C77" s="13"/>
      <c r="D77" s="13"/>
    </row>
    <row r="78" ht="15.75" customHeight="1">
      <c r="B78" s="19"/>
      <c r="D78" s="27"/>
    </row>
    <row r="79" ht="15.75" customHeight="1">
      <c r="B79" s="5"/>
      <c r="C79" s="5"/>
      <c r="D79" s="5"/>
    </row>
    <row r="80" ht="15.75" customHeight="1">
      <c r="B80" s="5"/>
      <c r="C80" s="5"/>
      <c r="D80" s="5"/>
    </row>
    <row r="81" ht="15.75" customHeight="1">
      <c r="B81" s="10"/>
      <c r="C81" s="10"/>
      <c r="D81" s="10"/>
    </row>
    <row r="82" ht="15.75" customHeight="1">
      <c r="B82" s="13"/>
      <c r="C82" s="13"/>
      <c r="D82" s="13"/>
    </row>
    <row r="83" ht="15.75" customHeight="1">
      <c r="B83" s="19"/>
      <c r="D83" s="27"/>
    </row>
    <row r="84" ht="15.75" customHeight="1">
      <c r="B84" s="19"/>
      <c r="D84" s="27"/>
    </row>
    <row r="85" ht="15.75" customHeight="1">
      <c r="B85" s="10"/>
      <c r="C85" s="10"/>
      <c r="D85" s="26"/>
    </row>
    <row r="86" ht="15.75" customHeight="1">
      <c r="B86" s="5"/>
      <c r="C86" s="5"/>
      <c r="D86" s="5"/>
    </row>
    <row r="87" ht="15.75" customHeight="1">
      <c r="B87" s="13"/>
      <c r="C87" s="13"/>
      <c r="D87" s="13"/>
    </row>
    <row r="88" ht="15.75" customHeight="1">
      <c r="B88" s="19"/>
      <c r="D88" s="27"/>
    </row>
    <row r="89" ht="15.75" customHeight="1">
      <c r="B89" s="19"/>
      <c r="D89" s="27"/>
    </row>
    <row r="90" ht="15.75" customHeight="1">
      <c r="B90" s="19"/>
      <c r="D90" s="27"/>
    </row>
    <row r="91" ht="15.75" customHeight="1">
      <c r="B91" s="19"/>
      <c r="D91" s="27"/>
    </row>
    <row r="92" ht="15.75" customHeight="1">
      <c r="B92" s="19"/>
      <c r="D92" s="27"/>
    </row>
    <row r="93" ht="15.75" customHeight="1">
      <c r="B93" s="19"/>
      <c r="D93" s="27"/>
    </row>
    <row r="94" ht="15.75" customHeight="1">
      <c r="B94" s="19"/>
      <c r="D94" s="27"/>
    </row>
    <row r="95" ht="15.75" customHeight="1">
      <c r="B95" s="10"/>
      <c r="C95" s="10"/>
      <c r="D95" s="26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0">
    <mergeCell ref="B2:D2"/>
    <mergeCell ref="E2:E4"/>
    <mergeCell ref="F2:F4"/>
    <mergeCell ref="G2:G4"/>
    <mergeCell ref="B3:D3"/>
    <mergeCell ref="B4:D4"/>
    <mergeCell ref="B14:D14"/>
    <mergeCell ref="B15:D15"/>
    <mergeCell ref="B18:D18"/>
    <mergeCell ref="E18:E20"/>
    <mergeCell ref="F18:F20"/>
    <mergeCell ref="G18:G20"/>
    <mergeCell ref="B19:D19"/>
    <mergeCell ref="B20:D20"/>
    <mergeCell ref="B24:D24"/>
    <mergeCell ref="B25:D25"/>
    <mergeCell ref="B28:D28"/>
    <mergeCell ref="E28:E30"/>
    <mergeCell ref="F28:F30"/>
    <mergeCell ref="G28:G30"/>
    <mergeCell ref="B29:D29"/>
    <mergeCell ref="B30:D30"/>
    <mergeCell ref="B34:D34"/>
    <mergeCell ref="B35:D35"/>
    <mergeCell ref="B38:D38"/>
    <mergeCell ref="E38:E40"/>
    <mergeCell ref="F38:F40"/>
    <mergeCell ref="G38:G40"/>
    <mergeCell ref="B63:D63"/>
    <mergeCell ref="B64:D64"/>
    <mergeCell ref="B69:D69"/>
    <mergeCell ref="B70:D70"/>
    <mergeCell ref="B39:D39"/>
    <mergeCell ref="B40:D40"/>
    <mergeCell ref="B59:D59"/>
    <mergeCell ref="B60:D60"/>
    <mergeCell ref="E63:E65"/>
    <mergeCell ref="F63:F65"/>
    <mergeCell ref="G63:G65"/>
    <mergeCell ref="B65:D6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4.86"/>
    <col customWidth="1" min="3" max="3" width="7.71"/>
    <col customWidth="1" min="4" max="4" width="24.71"/>
    <col customWidth="1" min="5" max="5" width="14.71"/>
    <col customWidth="1" min="6" max="6" width="20.86"/>
    <col customWidth="1" min="7" max="7" width="22.86"/>
    <col customWidth="1" min="8" max="8" width="18.86"/>
    <col customWidth="1" min="9" max="10" width="10.71"/>
    <col customWidth="1" min="11" max="11" width="21.86"/>
    <col customWidth="1" min="12" max="12" width="15.0"/>
    <col customWidth="1" min="13" max="26" width="10.71"/>
  </cols>
  <sheetData>
    <row r="2">
      <c r="B2" s="1" t="s">
        <v>0</v>
      </c>
      <c r="C2" s="2"/>
      <c r="D2" s="3"/>
      <c r="E2" s="4"/>
      <c r="F2" s="4"/>
      <c r="G2" s="4"/>
      <c r="H2" s="5"/>
      <c r="J2" s="5"/>
      <c r="K2" s="5"/>
      <c r="L2" s="5"/>
    </row>
    <row r="3">
      <c r="B3" s="6" t="s">
        <v>289</v>
      </c>
      <c r="C3" s="2"/>
      <c r="D3" s="3"/>
      <c r="E3" s="7"/>
      <c r="F3" s="7"/>
      <c r="G3" s="7"/>
      <c r="H3" s="5"/>
      <c r="J3" s="5"/>
      <c r="K3" s="5"/>
      <c r="L3" s="5"/>
    </row>
    <row r="4">
      <c r="B4" s="8" t="s">
        <v>2</v>
      </c>
      <c r="C4" s="2"/>
      <c r="D4" s="3"/>
      <c r="E4" s="9"/>
      <c r="F4" s="9"/>
      <c r="G4" s="9"/>
      <c r="H4" s="10"/>
      <c r="J4" s="10"/>
      <c r="K4" s="10"/>
      <c r="L4" s="10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  <c r="H5" s="13"/>
      <c r="J5" s="13"/>
      <c r="K5" s="13"/>
      <c r="L5" s="13"/>
    </row>
    <row r="6">
      <c r="B6" s="14" t="s">
        <v>16</v>
      </c>
      <c r="C6" s="15">
        <v>735.0</v>
      </c>
      <c r="D6" s="16" t="s">
        <v>290</v>
      </c>
      <c r="E6" s="17">
        <v>39900.0</v>
      </c>
      <c r="F6" s="17">
        <v>22941.0</v>
      </c>
      <c r="G6" s="17">
        <v>16959.0</v>
      </c>
      <c r="H6" s="27"/>
      <c r="J6" s="19"/>
      <c r="L6" s="27"/>
    </row>
    <row r="7">
      <c r="B7" s="20" t="s">
        <v>19</v>
      </c>
      <c r="C7" s="2"/>
      <c r="D7" s="3"/>
      <c r="E7" s="21">
        <f>SUM(E6)</f>
        <v>39900</v>
      </c>
      <c r="F7" s="21">
        <f>SUM(F5:F6)</f>
        <v>22941</v>
      </c>
      <c r="G7" s="22">
        <f>SUM(G6)</f>
        <v>16959</v>
      </c>
      <c r="H7" s="23" t="s">
        <v>20</v>
      </c>
      <c r="J7" s="19"/>
      <c r="L7" s="27"/>
    </row>
    <row r="8">
      <c r="B8" s="20" t="s">
        <v>218</v>
      </c>
      <c r="C8" s="2"/>
      <c r="D8" s="3"/>
      <c r="E8" s="21"/>
      <c r="F8" s="21">
        <f>SUM(F7)</f>
        <v>22941</v>
      </c>
      <c r="G8" s="21"/>
      <c r="H8" s="27"/>
      <c r="J8" s="19"/>
      <c r="L8" s="27"/>
    </row>
    <row r="9">
      <c r="B9" s="19"/>
      <c r="C9" s="19"/>
      <c r="D9" s="27"/>
      <c r="G9" s="19"/>
      <c r="H9" s="27"/>
      <c r="J9" s="19"/>
      <c r="L9" s="27"/>
    </row>
    <row r="10">
      <c r="B10" s="10"/>
      <c r="C10" s="10"/>
      <c r="D10" s="26"/>
      <c r="G10" s="10"/>
      <c r="H10" s="26"/>
      <c r="J10" s="19"/>
      <c r="K10" s="19"/>
      <c r="L10" s="27"/>
    </row>
    <row r="11">
      <c r="B11" s="1" t="s">
        <v>0</v>
      </c>
      <c r="C11" s="2"/>
      <c r="D11" s="3"/>
      <c r="E11" s="28"/>
      <c r="F11" s="28"/>
      <c r="G11" s="28"/>
      <c r="H11" s="27"/>
      <c r="J11" s="5"/>
      <c r="K11" s="5"/>
      <c r="L11" s="26"/>
    </row>
    <row r="12">
      <c r="B12" s="6" t="s">
        <v>289</v>
      </c>
      <c r="C12" s="2"/>
      <c r="D12" s="3"/>
      <c r="E12" s="7"/>
      <c r="F12" s="7"/>
      <c r="G12" s="7"/>
      <c r="H12" s="26"/>
    </row>
    <row r="13">
      <c r="B13" s="8" t="s">
        <v>22</v>
      </c>
      <c r="C13" s="2"/>
      <c r="D13" s="3"/>
      <c r="E13" s="9"/>
      <c r="F13" s="9"/>
      <c r="G13" s="9"/>
    </row>
    <row r="14">
      <c r="B14" s="11" t="s">
        <v>3</v>
      </c>
      <c r="C14" s="11" t="s">
        <v>4</v>
      </c>
      <c r="D14" s="11" t="s">
        <v>5</v>
      </c>
      <c r="E14" s="11" t="s">
        <v>6</v>
      </c>
      <c r="F14" s="11" t="s">
        <v>7</v>
      </c>
      <c r="G14" s="12" t="s">
        <v>8</v>
      </c>
    </row>
    <row r="15">
      <c r="B15" s="14" t="s">
        <v>47</v>
      </c>
      <c r="C15" s="15">
        <v>718.0</v>
      </c>
      <c r="D15" s="16" t="s">
        <v>291</v>
      </c>
      <c r="E15" s="17">
        <v>229900.0</v>
      </c>
      <c r="F15" s="17">
        <v>135235.0</v>
      </c>
      <c r="G15" s="17">
        <v>94665.0</v>
      </c>
    </row>
    <row r="16">
      <c r="B16" s="14" t="s">
        <v>52</v>
      </c>
      <c r="C16" s="15">
        <v>735.0</v>
      </c>
      <c r="D16" s="16" t="s">
        <v>290</v>
      </c>
      <c r="E16" s="17">
        <v>39900.0</v>
      </c>
      <c r="F16" s="17">
        <v>22941.0</v>
      </c>
      <c r="G16" s="17">
        <v>16959.0</v>
      </c>
    </row>
    <row r="17">
      <c r="B17" s="14" t="s">
        <v>56</v>
      </c>
      <c r="C17" s="15">
        <v>714.0</v>
      </c>
      <c r="D17" s="16" t="s">
        <v>292</v>
      </c>
      <c r="E17" s="17">
        <v>229900.0</v>
      </c>
      <c r="F17" s="17">
        <v>108188.0</v>
      </c>
      <c r="G17" s="17">
        <v>121712.0</v>
      </c>
    </row>
    <row r="18">
      <c r="B18" s="20" t="s">
        <v>216</v>
      </c>
      <c r="C18" s="2"/>
      <c r="D18" s="3"/>
      <c r="E18" s="21">
        <f t="shared" ref="E18:G18" si="1">SUM(E15:E17)</f>
        <v>499700</v>
      </c>
      <c r="F18" s="21">
        <f t="shared" si="1"/>
        <v>266364</v>
      </c>
      <c r="G18" s="22">
        <f t="shared" si="1"/>
        <v>233336</v>
      </c>
      <c r="H18" s="23" t="s">
        <v>20</v>
      </c>
    </row>
    <row r="19">
      <c r="B19" s="20" t="s">
        <v>218</v>
      </c>
      <c r="C19" s="2"/>
      <c r="D19" s="3"/>
      <c r="E19" s="21"/>
      <c r="F19" s="21">
        <f>SUM(F18)</f>
        <v>266364</v>
      </c>
      <c r="G19" s="21"/>
    </row>
    <row r="20">
      <c r="B20" s="19"/>
      <c r="C20" s="19"/>
      <c r="D20" s="27"/>
    </row>
    <row r="21">
      <c r="B21" s="19"/>
      <c r="C21" s="19"/>
      <c r="D21" s="27"/>
    </row>
    <row r="22">
      <c r="B22" s="1" t="s">
        <v>0</v>
      </c>
      <c r="C22" s="2"/>
      <c r="D22" s="3"/>
      <c r="E22" s="4"/>
      <c r="F22" s="4"/>
      <c r="G22" s="4"/>
    </row>
    <row r="23" ht="15.75" customHeight="1">
      <c r="B23" s="6" t="s">
        <v>289</v>
      </c>
      <c r="C23" s="2"/>
      <c r="D23" s="3"/>
      <c r="E23" s="7"/>
      <c r="F23" s="7"/>
      <c r="G23" s="7"/>
    </row>
    <row r="24" ht="15.75" customHeight="1">
      <c r="B24" s="8" t="s">
        <v>64</v>
      </c>
      <c r="C24" s="2"/>
      <c r="D24" s="3"/>
      <c r="E24" s="9"/>
      <c r="F24" s="9"/>
      <c r="G24" s="9"/>
    </row>
    <row r="25" ht="15.75" customHeight="1">
      <c r="B25" s="11" t="s">
        <v>3</v>
      </c>
      <c r="C25" s="11" t="s">
        <v>4</v>
      </c>
      <c r="D25" s="11" t="s">
        <v>5</v>
      </c>
      <c r="E25" s="11" t="s">
        <v>6</v>
      </c>
      <c r="F25" s="11" t="s">
        <v>7</v>
      </c>
      <c r="G25" s="12" t="s">
        <v>8</v>
      </c>
    </row>
    <row r="26" ht="15.75" customHeight="1">
      <c r="B26" s="14" t="s">
        <v>70</v>
      </c>
      <c r="C26" s="15">
        <v>719.0</v>
      </c>
      <c r="D26" s="16" t="s">
        <v>293</v>
      </c>
      <c r="E26" s="17">
        <v>35000.0</v>
      </c>
      <c r="F26" s="17">
        <v>20000.0</v>
      </c>
      <c r="G26" s="17">
        <v>15000.0</v>
      </c>
    </row>
    <row r="27" ht="15.75" customHeight="1">
      <c r="B27" s="14" t="s">
        <v>90</v>
      </c>
      <c r="C27" s="15">
        <v>757.0</v>
      </c>
      <c r="D27" s="16" t="s">
        <v>294</v>
      </c>
      <c r="E27" s="17">
        <v>259900.0</v>
      </c>
      <c r="F27" s="17">
        <v>152882.0</v>
      </c>
      <c r="G27" s="17">
        <v>107018.0</v>
      </c>
    </row>
    <row r="28" ht="15.75" customHeight="1">
      <c r="B28" s="14" t="s">
        <v>98</v>
      </c>
      <c r="C28" s="15">
        <v>718.0</v>
      </c>
      <c r="D28" s="16" t="s">
        <v>295</v>
      </c>
      <c r="E28" s="17">
        <v>229900.0</v>
      </c>
      <c r="F28" s="17">
        <v>135235.0</v>
      </c>
      <c r="G28" s="17">
        <v>94665.0</v>
      </c>
    </row>
    <row r="29" ht="15.75" customHeight="1">
      <c r="B29" s="14" t="s">
        <v>227</v>
      </c>
      <c r="C29" s="15">
        <v>727.0</v>
      </c>
      <c r="D29" s="16" t="s">
        <v>296</v>
      </c>
      <c r="E29" s="17">
        <v>139930.0</v>
      </c>
      <c r="F29" s="17">
        <v>81941.0</v>
      </c>
      <c r="G29" s="17">
        <v>57989.0</v>
      </c>
    </row>
    <row r="30" ht="15.75" customHeight="1">
      <c r="B30" s="20" t="s">
        <v>19</v>
      </c>
      <c r="C30" s="2"/>
      <c r="D30" s="3"/>
      <c r="E30" s="21">
        <f t="shared" ref="E30:G30" si="2">SUM(E26:E29)</f>
        <v>664730</v>
      </c>
      <c r="F30" s="21">
        <f t="shared" si="2"/>
        <v>390058</v>
      </c>
      <c r="G30" s="22">
        <f t="shared" si="2"/>
        <v>274672</v>
      </c>
      <c r="H30" s="23" t="s">
        <v>20</v>
      </c>
    </row>
    <row r="31" ht="15.75" customHeight="1">
      <c r="B31" s="20" t="s">
        <v>218</v>
      </c>
      <c r="C31" s="2"/>
      <c r="D31" s="3"/>
      <c r="E31" s="21"/>
      <c r="F31" s="21">
        <f>SUM(F30)</f>
        <v>390058</v>
      </c>
      <c r="G31" s="21"/>
    </row>
    <row r="32" ht="15.75" customHeight="1">
      <c r="B32" s="19"/>
      <c r="D32" s="27"/>
    </row>
    <row r="33" ht="15.75" customHeight="1">
      <c r="B33" s="19"/>
      <c r="D33" s="27"/>
    </row>
    <row r="34" ht="15.75" customHeight="1">
      <c r="B34" s="1" t="s">
        <v>0</v>
      </c>
      <c r="C34" s="2"/>
      <c r="D34" s="3"/>
      <c r="E34" s="28"/>
      <c r="F34" s="28"/>
      <c r="G34" s="28"/>
    </row>
    <row r="35" ht="15.75" customHeight="1">
      <c r="B35" s="6" t="s">
        <v>289</v>
      </c>
      <c r="C35" s="2"/>
      <c r="D35" s="3"/>
      <c r="E35" s="7"/>
      <c r="F35" s="7"/>
      <c r="G35" s="7"/>
    </row>
    <row r="36" ht="15.75" customHeight="1">
      <c r="B36" s="8" t="s">
        <v>101</v>
      </c>
      <c r="C36" s="2"/>
      <c r="D36" s="3"/>
      <c r="E36" s="9"/>
      <c r="F36" s="9"/>
      <c r="G36" s="9"/>
    </row>
    <row r="37" ht="15.75" customHeight="1">
      <c r="B37" s="47" t="s">
        <v>3</v>
      </c>
      <c r="C37" s="47" t="s">
        <v>4</v>
      </c>
      <c r="D37" s="47" t="s">
        <v>5</v>
      </c>
      <c r="E37" s="11" t="s">
        <v>6</v>
      </c>
      <c r="F37" s="11" t="s">
        <v>7</v>
      </c>
      <c r="G37" s="12" t="s">
        <v>8</v>
      </c>
    </row>
    <row r="38" ht="15.75" customHeight="1">
      <c r="B38" s="14" t="s">
        <v>110</v>
      </c>
      <c r="C38" s="15">
        <v>714.0</v>
      </c>
      <c r="D38" s="16" t="s">
        <v>297</v>
      </c>
      <c r="E38" s="17">
        <v>229900.0</v>
      </c>
      <c r="F38" s="17">
        <v>135235.0</v>
      </c>
      <c r="G38" s="17">
        <v>94665.0</v>
      </c>
    </row>
    <row r="39" ht="15.75" customHeight="1">
      <c r="B39" s="14" t="s">
        <v>110</v>
      </c>
      <c r="C39" s="15">
        <v>719.0</v>
      </c>
      <c r="D39" s="16" t="s">
        <v>298</v>
      </c>
      <c r="E39" s="17">
        <v>35000.0</v>
      </c>
      <c r="F39" s="17">
        <v>20000.0</v>
      </c>
      <c r="G39" s="17">
        <v>15000.0</v>
      </c>
    </row>
    <row r="40" ht="15.75" customHeight="1">
      <c r="B40" s="14" t="s">
        <v>114</v>
      </c>
      <c r="C40" s="15">
        <v>719.0</v>
      </c>
      <c r="D40" s="16" t="s">
        <v>298</v>
      </c>
      <c r="E40" s="17">
        <v>35000.0</v>
      </c>
      <c r="F40" s="17">
        <v>20000.0</v>
      </c>
      <c r="G40" s="17">
        <v>15000.0</v>
      </c>
    </row>
    <row r="41" ht="15.75" customHeight="1">
      <c r="B41" s="14" t="s">
        <v>114</v>
      </c>
      <c r="C41" s="15">
        <v>719.0</v>
      </c>
      <c r="D41" s="16" t="s">
        <v>298</v>
      </c>
      <c r="E41" s="17">
        <v>35000.0</v>
      </c>
      <c r="F41" s="17">
        <v>20000.0</v>
      </c>
      <c r="G41" s="17">
        <v>15000.0</v>
      </c>
    </row>
    <row r="42" ht="15.75" customHeight="1">
      <c r="B42" s="14" t="s">
        <v>114</v>
      </c>
      <c r="C42" s="15">
        <v>719.0</v>
      </c>
      <c r="D42" s="16" t="s">
        <v>298</v>
      </c>
      <c r="E42" s="17">
        <v>35000.0</v>
      </c>
      <c r="F42" s="17">
        <v>20000.0</v>
      </c>
      <c r="G42" s="17">
        <v>15000.0</v>
      </c>
    </row>
    <row r="43" ht="15.75" customHeight="1">
      <c r="B43" s="14" t="s">
        <v>116</v>
      </c>
      <c r="C43" s="15">
        <v>745.0</v>
      </c>
      <c r="D43" s="16" t="s">
        <v>299</v>
      </c>
      <c r="E43" s="17">
        <v>159920.0</v>
      </c>
      <c r="F43" s="17">
        <v>94070.0</v>
      </c>
      <c r="G43" s="17">
        <v>65850.0</v>
      </c>
    </row>
    <row r="44" ht="15.75" customHeight="1">
      <c r="B44" s="14" t="s">
        <v>116</v>
      </c>
      <c r="C44" s="15">
        <v>719.0</v>
      </c>
      <c r="D44" s="16" t="s">
        <v>298</v>
      </c>
      <c r="E44" s="17">
        <v>35000.0</v>
      </c>
      <c r="F44" s="17">
        <v>20000.0</v>
      </c>
      <c r="G44" s="17">
        <v>15000.0</v>
      </c>
    </row>
    <row r="45" ht="15.75" customHeight="1">
      <c r="B45" s="14" t="s">
        <v>116</v>
      </c>
      <c r="C45" s="15">
        <v>719.0</v>
      </c>
      <c r="D45" s="16" t="s">
        <v>298</v>
      </c>
      <c r="E45" s="17">
        <v>35000.0</v>
      </c>
      <c r="F45" s="17">
        <v>20000.0</v>
      </c>
      <c r="G45" s="17">
        <v>15000.0</v>
      </c>
      <c r="H45" s="5"/>
      <c r="I45" s="5"/>
    </row>
    <row r="46" ht="15.75" customHeight="1">
      <c r="B46" s="14" t="s">
        <v>300</v>
      </c>
      <c r="C46" s="15">
        <v>749.0</v>
      </c>
      <c r="D46" s="16" t="s">
        <v>301</v>
      </c>
      <c r="E46" s="17">
        <v>199900.0</v>
      </c>
      <c r="F46" s="17">
        <v>117588.0</v>
      </c>
      <c r="G46" s="17">
        <v>82312.0</v>
      </c>
      <c r="H46" s="5"/>
      <c r="I46" s="5"/>
    </row>
    <row r="47" ht="15.75" customHeight="1">
      <c r="B47" s="14" t="s">
        <v>205</v>
      </c>
      <c r="C47" s="15">
        <v>757.0</v>
      </c>
      <c r="D47" s="16" t="s">
        <v>302</v>
      </c>
      <c r="E47" s="17">
        <v>249900.0</v>
      </c>
      <c r="F47" s="17">
        <v>147000.0</v>
      </c>
      <c r="G47" s="17">
        <v>102900.0</v>
      </c>
      <c r="H47" s="10"/>
      <c r="I47" s="10"/>
    </row>
    <row r="48" ht="15.75" customHeight="1">
      <c r="B48" s="14" t="s">
        <v>205</v>
      </c>
      <c r="C48" s="15">
        <v>748.0</v>
      </c>
      <c r="D48" s="16" t="s">
        <v>303</v>
      </c>
      <c r="E48" s="17">
        <v>209900.0</v>
      </c>
      <c r="F48" s="17">
        <v>123771.0</v>
      </c>
      <c r="G48" s="17">
        <v>86129.0</v>
      </c>
      <c r="H48" s="13"/>
      <c r="I48" s="13"/>
    </row>
    <row r="49" ht="15.75" customHeight="1">
      <c r="B49" s="20" t="s">
        <v>19</v>
      </c>
      <c r="C49" s="2"/>
      <c r="D49" s="3"/>
      <c r="E49" s="21">
        <f t="shared" ref="E49:G49" si="3">SUM(E38:E48)</f>
        <v>1259520</v>
      </c>
      <c r="F49" s="21">
        <f t="shared" si="3"/>
        <v>737664</v>
      </c>
      <c r="G49" s="22">
        <f t="shared" si="3"/>
        <v>521856</v>
      </c>
      <c r="H49" s="23" t="s">
        <v>20</v>
      </c>
      <c r="I49" s="27"/>
    </row>
    <row r="50" ht="15.75" customHeight="1">
      <c r="B50" s="20" t="s">
        <v>218</v>
      </c>
      <c r="C50" s="2"/>
      <c r="D50" s="3"/>
      <c r="E50" s="21"/>
      <c r="F50" s="21">
        <f>SUM(F49)</f>
        <v>737664</v>
      </c>
      <c r="G50" s="21"/>
      <c r="H50" s="5"/>
      <c r="I50" s="26"/>
    </row>
    <row r="51" ht="15.75" customHeight="1">
      <c r="B51" s="10"/>
      <c r="C51" s="10"/>
      <c r="D51" s="26"/>
      <c r="H51" s="5"/>
      <c r="I51" s="26"/>
    </row>
    <row r="52" ht="15.75" customHeight="1">
      <c r="B52" s="5"/>
      <c r="C52" s="5"/>
      <c r="D52" s="5"/>
      <c r="I52" s="27"/>
    </row>
    <row r="53" ht="15.75" customHeight="1">
      <c r="B53" s="1" t="s">
        <v>0</v>
      </c>
      <c r="C53" s="2"/>
      <c r="D53" s="3"/>
      <c r="E53" s="28"/>
      <c r="F53" s="28"/>
      <c r="G53" s="28"/>
      <c r="H53" s="5"/>
      <c r="I53" s="5"/>
    </row>
    <row r="54" ht="15.75" customHeight="1">
      <c r="B54" s="6" t="s">
        <v>289</v>
      </c>
      <c r="C54" s="2"/>
      <c r="D54" s="3"/>
      <c r="E54" s="7"/>
      <c r="F54" s="7"/>
      <c r="G54" s="7"/>
      <c r="H54" s="5"/>
      <c r="I54" s="5"/>
    </row>
    <row r="55" ht="15.75" customHeight="1">
      <c r="B55" s="8" t="s">
        <v>126</v>
      </c>
      <c r="C55" s="2"/>
      <c r="D55" s="3"/>
      <c r="E55" s="9"/>
      <c r="F55" s="9"/>
      <c r="G55" s="9"/>
      <c r="H55" s="10"/>
      <c r="I55" s="10"/>
    </row>
    <row r="56" ht="15.75" customHeight="1">
      <c r="B56" s="47" t="s">
        <v>3</v>
      </c>
      <c r="C56" s="47" t="s">
        <v>4</v>
      </c>
      <c r="D56" s="47" t="s">
        <v>5</v>
      </c>
      <c r="E56" s="11" t="s">
        <v>6</v>
      </c>
      <c r="F56" s="11" t="s">
        <v>7</v>
      </c>
      <c r="G56" s="12" t="s">
        <v>8</v>
      </c>
      <c r="H56" s="13"/>
      <c r="I56" s="13"/>
    </row>
    <row r="57" ht="15.75" customHeight="1">
      <c r="B57" s="14" t="s">
        <v>127</v>
      </c>
      <c r="C57" s="15">
        <v>719.0</v>
      </c>
      <c r="D57" s="16" t="s">
        <v>304</v>
      </c>
      <c r="E57" s="17">
        <v>35000.0</v>
      </c>
      <c r="F57" s="17">
        <v>20000.0</v>
      </c>
      <c r="G57" s="17">
        <v>15000.0</v>
      </c>
      <c r="I57" s="27"/>
    </row>
    <row r="58" ht="15.75" customHeight="1">
      <c r="B58" s="14" t="s">
        <v>127</v>
      </c>
      <c r="C58" s="15">
        <v>719.0</v>
      </c>
      <c r="D58" s="16" t="s">
        <v>304</v>
      </c>
      <c r="E58" s="17">
        <v>35000.0</v>
      </c>
      <c r="F58" s="17">
        <v>20000.0</v>
      </c>
      <c r="G58" s="17">
        <v>15000.0</v>
      </c>
      <c r="I58" s="27"/>
    </row>
    <row r="59" ht="15.75" customHeight="1">
      <c r="B59" s="14" t="s">
        <v>129</v>
      </c>
      <c r="C59" s="15">
        <v>727.0</v>
      </c>
      <c r="D59" s="16" t="s">
        <v>305</v>
      </c>
      <c r="E59" s="17">
        <v>199900.0</v>
      </c>
      <c r="F59" s="17">
        <v>117059.0</v>
      </c>
      <c r="G59" s="17">
        <v>82841.0</v>
      </c>
      <c r="I59" s="27"/>
    </row>
    <row r="60" ht="15.75" customHeight="1">
      <c r="B60" s="14" t="s">
        <v>131</v>
      </c>
      <c r="C60" s="15">
        <v>753.0</v>
      </c>
      <c r="D60" s="16" t="s">
        <v>306</v>
      </c>
      <c r="E60" s="17">
        <v>79900.0</v>
      </c>
      <c r="F60" s="17">
        <v>47000.0</v>
      </c>
      <c r="G60" s="17">
        <v>32900.0</v>
      </c>
      <c r="H60" s="5"/>
      <c r="I60" s="26"/>
    </row>
    <row r="61" ht="15.75" customHeight="1">
      <c r="B61" s="14" t="s">
        <v>131</v>
      </c>
      <c r="C61" s="15">
        <v>719.0</v>
      </c>
      <c r="D61" s="16" t="s">
        <v>304</v>
      </c>
      <c r="E61" s="17">
        <v>35000.0</v>
      </c>
      <c r="F61" s="17">
        <v>20000.0</v>
      </c>
      <c r="G61" s="17">
        <v>15000.0</v>
      </c>
    </row>
    <row r="62" ht="15.75" customHeight="1">
      <c r="B62" s="14" t="s">
        <v>131</v>
      </c>
      <c r="C62" s="15">
        <v>719.0</v>
      </c>
      <c r="D62" s="16" t="s">
        <v>304</v>
      </c>
      <c r="E62" s="17">
        <v>35000.0</v>
      </c>
      <c r="F62" s="17">
        <v>20000.0</v>
      </c>
      <c r="G62" s="17">
        <v>15000.0</v>
      </c>
      <c r="H62" s="5"/>
      <c r="I62" s="5"/>
    </row>
    <row r="63" ht="15.75" customHeight="1">
      <c r="B63" s="14" t="s">
        <v>139</v>
      </c>
      <c r="C63" s="15">
        <v>717.0</v>
      </c>
      <c r="D63" s="16" t="s">
        <v>307</v>
      </c>
      <c r="E63" s="17">
        <v>179900.0</v>
      </c>
      <c r="F63" s="17">
        <v>105824.0</v>
      </c>
      <c r="G63" s="17">
        <v>74076.0</v>
      </c>
      <c r="H63" s="5"/>
      <c r="I63" s="5"/>
    </row>
    <row r="64" ht="15.75" customHeight="1">
      <c r="B64" s="14" t="s">
        <v>143</v>
      </c>
      <c r="C64" s="15">
        <v>727.0</v>
      </c>
      <c r="D64" s="16" t="s">
        <v>308</v>
      </c>
      <c r="E64" s="17">
        <v>199900.0</v>
      </c>
      <c r="F64" s="17">
        <v>117059.0</v>
      </c>
      <c r="G64" s="17">
        <v>82841.0</v>
      </c>
      <c r="H64" s="10"/>
      <c r="I64" s="10"/>
    </row>
    <row r="65" ht="15.75" customHeight="1">
      <c r="B65" s="20" t="s">
        <v>19</v>
      </c>
      <c r="C65" s="2"/>
      <c r="D65" s="3"/>
      <c r="E65" s="21">
        <f t="shared" ref="E65:G65" si="4">SUM(E57:E64)</f>
        <v>799600</v>
      </c>
      <c r="F65" s="21">
        <f t="shared" si="4"/>
        <v>466942</v>
      </c>
      <c r="G65" s="22">
        <f t="shared" si="4"/>
        <v>332658</v>
      </c>
      <c r="H65" s="23" t="s">
        <v>20</v>
      </c>
      <c r="I65" s="13"/>
    </row>
    <row r="66" ht="15.75" customHeight="1">
      <c r="B66" s="20" t="s">
        <v>218</v>
      </c>
      <c r="C66" s="2"/>
      <c r="D66" s="3"/>
      <c r="E66" s="21"/>
      <c r="F66" s="21">
        <f>SUM(F65)</f>
        <v>466942</v>
      </c>
      <c r="G66" s="21"/>
      <c r="I66" s="27"/>
    </row>
    <row r="67" ht="15.75" customHeight="1">
      <c r="B67" s="19"/>
      <c r="D67" s="27"/>
      <c r="H67" s="5"/>
      <c r="I67" s="26"/>
    </row>
    <row r="68" ht="15.75" customHeight="1">
      <c r="B68" s="19"/>
      <c r="D68" s="27"/>
    </row>
    <row r="69" ht="15.75" customHeight="1">
      <c r="B69" s="1" t="s">
        <v>0</v>
      </c>
      <c r="C69" s="2"/>
      <c r="D69" s="3"/>
      <c r="E69" s="28"/>
      <c r="F69" s="28"/>
      <c r="G69" s="28"/>
      <c r="H69" s="5"/>
      <c r="I69" s="5"/>
    </row>
    <row r="70" ht="15.75" customHeight="1">
      <c r="B70" s="6" t="s">
        <v>289</v>
      </c>
      <c r="C70" s="2"/>
      <c r="D70" s="3"/>
      <c r="E70" s="7"/>
      <c r="F70" s="7"/>
      <c r="G70" s="7"/>
      <c r="H70" s="5"/>
      <c r="I70" s="5"/>
    </row>
    <row r="71" ht="15.75" customHeight="1">
      <c r="B71" s="8" t="s">
        <v>157</v>
      </c>
      <c r="C71" s="2"/>
      <c r="D71" s="3"/>
      <c r="E71" s="9"/>
      <c r="F71" s="9"/>
      <c r="G71" s="9"/>
      <c r="H71" s="10"/>
      <c r="I71" s="10"/>
    </row>
    <row r="72" ht="15.75" customHeight="1">
      <c r="B72" s="47" t="s">
        <v>3</v>
      </c>
      <c r="C72" s="47" t="s">
        <v>4</v>
      </c>
      <c r="D72" s="47" t="s">
        <v>5</v>
      </c>
      <c r="E72" s="11" t="s">
        <v>6</v>
      </c>
      <c r="F72" s="11" t="s">
        <v>7</v>
      </c>
      <c r="G72" s="12" t="s">
        <v>8</v>
      </c>
      <c r="H72" s="13"/>
      <c r="I72" s="13"/>
    </row>
    <row r="73" ht="15.75" customHeight="1">
      <c r="B73" s="14" t="s">
        <v>164</v>
      </c>
      <c r="C73" s="15">
        <v>714.0</v>
      </c>
      <c r="D73" s="16" t="s">
        <v>297</v>
      </c>
      <c r="E73" s="17">
        <v>229900.0</v>
      </c>
      <c r="F73" s="17">
        <v>135235.0</v>
      </c>
      <c r="G73" s="17">
        <v>94665.0</v>
      </c>
      <c r="I73" s="27"/>
    </row>
    <row r="74" ht="15.75" customHeight="1">
      <c r="B74" s="14" t="s">
        <v>309</v>
      </c>
      <c r="C74" s="15">
        <v>753.0</v>
      </c>
      <c r="D74" s="16" t="s">
        <v>310</v>
      </c>
      <c r="E74" s="17">
        <v>79900.0</v>
      </c>
      <c r="F74" s="17">
        <v>47000.0</v>
      </c>
      <c r="G74" s="17">
        <v>32900.0</v>
      </c>
      <c r="H74" s="5"/>
      <c r="I74" s="26"/>
    </row>
    <row r="75" ht="15.0" customHeight="1">
      <c r="B75" s="14" t="s">
        <v>311</v>
      </c>
      <c r="C75" s="15">
        <v>753.0</v>
      </c>
      <c r="D75" s="16" t="s">
        <v>310</v>
      </c>
      <c r="E75" s="17">
        <v>79900.0</v>
      </c>
      <c r="F75" s="17">
        <v>47000.0</v>
      </c>
      <c r="G75" s="17">
        <v>32900.0</v>
      </c>
    </row>
    <row r="76" ht="15.75" customHeight="1">
      <c r="B76" s="14" t="s">
        <v>171</v>
      </c>
      <c r="C76" s="15">
        <v>755.0</v>
      </c>
      <c r="D76" s="16" t="s">
        <v>312</v>
      </c>
      <c r="E76" s="17">
        <v>239900.0</v>
      </c>
      <c r="F76" s="17">
        <v>141118.0</v>
      </c>
      <c r="G76" s="17">
        <v>98782.0</v>
      </c>
    </row>
    <row r="77" ht="15.75" customHeight="1">
      <c r="B77" s="14" t="s">
        <v>171</v>
      </c>
      <c r="C77" s="15">
        <v>745.0</v>
      </c>
      <c r="D77" s="16" t="s">
        <v>313</v>
      </c>
      <c r="E77" s="17">
        <v>199900.0</v>
      </c>
      <c r="F77" s="17">
        <v>111706.0</v>
      </c>
      <c r="G77" s="17">
        <v>88194.0</v>
      </c>
    </row>
    <row r="78" ht="15.75" customHeight="1">
      <c r="B78" s="14" t="s">
        <v>171</v>
      </c>
      <c r="C78" s="15">
        <v>719.0</v>
      </c>
      <c r="D78" s="16" t="s">
        <v>304</v>
      </c>
      <c r="E78" s="17">
        <v>35000.0</v>
      </c>
      <c r="F78" s="17">
        <v>20000.0</v>
      </c>
      <c r="G78" s="17">
        <v>15000.0</v>
      </c>
    </row>
    <row r="79" ht="15.75" customHeight="1">
      <c r="B79" s="14" t="s">
        <v>173</v>
      </c>
      <c r="C79" s="15">
        <v>757.0</v>
      </c>
      <c r="D79" s="16" t="s">
        <v>314</v>
      </c>
      <c r="E79" s="17">
        <v>259900.0</v>
      </c>
      <c r="F79" s="17">
        <v>-152882.0</v>
      </c>
      <c r="G79" s="17">
        <v>107018.0</v>
      </c>
      <c r="H79" s="27"/>
    </row>
    <row r="80" ht="15.75" customHeight="1">
      <c r="B80" s="14" t="s">
        <v>173</v>
      </c>
      <c r="C80" s="15">
        <v>755.0</v>
      </c>
      <c r="D80" s="16" t="s">
        <v>312</v>
      </c>
      <c r="E80" s="17">
        <v>239900.0</v>
      </c>
      <c r="F80" s="17">
        <v>141118.0</v>
      </c>
      <c r="G80" s="17">
        <v>98782.0</v>
      </c>
    </row>
    <row r="81" ht="15.75" customHeight="1">
      <c r="B81" s="20" t="s">
        <v>19</v>
      </c>
      <c r="C81" s="2"/>
      <c r="D81" s="3"/>
      <c r="E81" s="33">
        <f>SUM(E73:E80)</f>
        <v>1364300</v>
      </c>
      <c r="F81" s="21">
        <v>796059.0</v>
      </c>
      <c r="G81" s="34">
        <f>SUM(G73:G80)</f>
        <v>568241</v>
      </c>
      <c r="H81" s="23" t="s">
        <v>20</v>
      </c>
    </row>
    <row r="82" ht="15.75" customHeight="1">
      <c r="B82" s="35" t="s">
        <v>62</v>
      </c>
      <c r="C82" s="2"/>
      <c r="D82" s="3"/>
      <c r="E82" s="36"/>
      <c r="F82" s="37">
        <v>-152882.0</v>
      </c>
      <c r="G82" s="38"/>
    </row>
    <row r="83" ht="15.75" customHeight="1">
      <c r="B83" s="20" t="s">
        <v>63</v>
      </c>
      <c r="C83" s="2"/>
      <c r="D83" s="3"/>
      <c r="E83" s="21"/>
      <c r="F83" s="39">
        <f>SUM(F81:F82)</f>
        <v>643177</v>
      </c>
      <c r="G83" s="14"/>
    </row>
    <row r="84" ht="15.75" customHeight="1">
      <c r="B84" s="19"/>
      <c r="C84" s="19"/>
      <c r="D84" s="27"/>
    </row>
    <row r="85" ht="15.75" customHeight="1">
      <c r="B85" s="5"/>
      <c r="C85" s="5"/>
      <c r="D85" s="5"/>
    </row>
    <row r="86" ht="15.75" customHeight="1">
      <c r="B86" s="5"/>
      <c r="C86" s="5"/>
      <c r="D86" s="5"/>
    </row>
    <row r="87" ht="15.75" customHeight="1">
      <c r="B87" s="10"/>
      <c r="C87" s="10"/>
      <c r="D87" s="10"/>
    </row>
    <row r="88" ht="15.75" customHeight="1">
      <c r="B88" s="13"/>
      <c r="C88" s="13"/>
      <c r="D88" s="13"/>
    </row>
    <row r="89" ht="15.75" customHeight="1">
      <c r="B89" s="19"/>
      <c r="D89" s="27"/>
    </row>
    <row r="90" ht="15.75" customHeight="1">
      <c r="B90" s="19"/>
      <c r="D90" s="27"/>
    </row>
    <row r="91" ht="15.75" customHeight="1">
      <c r="B91" s="19"/>
      <c r="D91" s="27"/>
    </row>
    <row r="92" ht="15.75" customHeight="1">
      <c r="B92" s="10"/>
      <c r="C92" s="10"/>
      <c r="D92" s="26"/>
    </row>
    <row r="93" ht="15.75" customHeight="1">
      <c r="B93" s="19"/>
      <c r="D93" s="27"/>
    </row>
    <row r="94" ht="15.75" customHeight="1">
      <c r="B94" s="19"/>
      <c r="D94" s="27"/>
    </row>
    <row r="95" ht="15.75" customHeight="1">
      <c r="B95" s="5"/>
      <c r="C95" s="5"/>
      <c r="D95" s="5"/>
    </row>
    <row r="96" ht="15.75" customHeight="1">
      <c r="B96" s="5"/>
      <c r="C96" s="5"/>
      <c r="D96" s="5"/>
    </row>
    <row r="97" ht="15.75" customHeight="1">
      <c r="B97" s="10"/>
      <c r="C97" s="10"/>
      <c r="D97" s="10"/>
    </row>
    <row r="98" ht="15.75" customHeight="1">
      <c r="B98" s="13"/>
      <c r="C98" s="13"/>
      <c r="D98" s="13"/>
    </row>
    <row r="99" ht="15.75" customHeight="1">
      <c r="B99" s="19"/>
      <c r="D99" s="27"/>
    </row>
    <row r="100" ht="15.75" customHeight="1">
      <c r="B100" s="10"/>
      <c r="C100" s="10"/>
      <c r="D100" s="26"/>
    </row>
    <row r="101" ht="15.75" customHeight="1">
      <c r="B101" s="19"/>
      <c r="D101" s="27"/>
    </row>
    <row r="102" ht="15.75" customHeight="1">
      <c r="B102" s="19"/>
      <c r="D102" s="27"/>
    </row>
    <row r="103" ht="15.75" customHeight="1">
      <c r="B103" s="5"/>
      <c r="C103" s="5"/>
      <c r="D103" s="5"/>
    </row>
    <row r="104" ht="15.75" customHeight="1">
      <c r="B104" s="5"/>
      <c r="C104" s="5"/>
      <c r="D104" s="5"/>
    </row>
    <row r="105" ht="15.75" customHeight="1">
      <c r="B105" s="10"/>
      <c r="C105" s="10"/>
      <c r="D105" s="10"/>
    </row>
    <row r="106" ht="15.75" customHeight="1">
      <c r="B106" s="13"/>
      <c r="C106" s="13"/>
      <c r="D106" s="13"/>
    </row>
    <row r="107" ht="15.75" customHeight="1">
      <c r="B107" s="19"/>
      <c r="D107" s="27"/>
    </row>
    <row r="108" ht="15.75" customHeight="1">
      <c r="B108" s="19"/>
      <c r="D108" s="27"/>
    </row>
    <row r="109" ht="15.75" customHeight="1">
      <c r="B109" s="10"/>
      <c r="C109" s="10"/>
      <c r="D109" s="26"/>
    </row>
    <row r="110" ht="15.75" customHeight="1"/>
    <row r="111" ht="15.75" customHeight="1"/>
    <row r="112" ht="15.75" customHeight="1">
      <c r="B112" s="5"/>
      <c r="C112" s="5"/>
      <c r="D112" s="5"/>
    </row>
    <row r="113" ht="15.75" customHeight="1">
      <c r="B113" s="5"/>
      <c r="C113" s="5"/>
      <c r="D113" s="5"/>
    </row>
    <row r="114" ht="15.75" customHeight="1">
      <c r="B114" s="10"/>
      <c r="C114" s="10"/>
      <c r="D114" s="10"/>
    </row>
    <row r="115" ht="15.75" customHeight="1">
      <c r="B115" s="13"/>
      <c r="C115" s="13"/>
      <c r="D115" s="13"/>
    </row>
    <row r="116" ht="15.75" customHeight="1">
      <c r="B116" s="19"/>
      <c r="D116" s="27"/>
    </row>
    <row r="117" ht="15.75" customHeight="1">
      <c r="B117" s="19"/>
      <c r="D117" s="27"/>
    </row>
    <row r="118" ht="15.75" customHeight="1">
      <c r="B118" s="19"/>
      <c r="D118" s="27"/>
    </row>
    <row r="119" ht="15.75" customHeight="1">
      <c r="B119" s="19"/>
      <c r="D119" s="27"/>
    </row>
    <row r="120" ht="15.75" customHeight="1">
      <c r="B120" s="19"/>
      <c r="D120" s="27"/>
    </row>
    <row r="121" ht="15.75" customHeight="1">
      <c r="B121" s="19"/>
      <c r="D121" s="27"/>
    </row>
    <row r="122" ht="15.75" customHeight="1">
      <c r="B122" s="19"/>
      <c r="D122" s="27"/>
    </row>
    <row r="123" ht="15.75" customHeight="1">
      <c r="B123" s="19"/>
      <c r="D123" s="27"/>
    </row>
    <row r="124" ht="15.75" customHeight="1">
      <c r="B124" s="19"/>
      <c r="D124" s="27"/>
    </row>
    <row r="125" ht="15.75" customHeight="1">
      <c r="B125" s="19"/>
      <c r="D125" s="27"/>
    </row>
    <row r="126" ht="15.75" customHeight="1">
      <c r="B126" s="19"/>
      <c r="D126" s="27"/>
    </row>
    <row r="127" ht="15.75" customHeight="1">
      <c r="B127" s="19"/>
      <c r="D127" s="27"/>
    </row>
    <row r="128" ht="15.75" customHeight="1">
      <c r="B128" s="19"/>
      <c r="D128" s="27"/>
    </row>
    <row r="129" ht="15.75" customHeight="1">
      <c r="B129" s="10"/>
      <c r="C129" s="10"/>
      <c r="D129" s="26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9">
    <mergeCell ref="B2:D2"/>
    <mergeCell ref="E2:E4"/>
    <mergeCell ref="F2:F4"/>
    <mergeCell ref="G2:G4"/>
    <mergeCell ref="B3:D3"/>
    <mergeCell ref="B4:D4"/>
    <mergeCell ref="B7:D7"/>
    <mergeCell ref="B8:D8"/>
    <mergeCell ref="B11:D11"/>
    <mergeCell ref="E11:E13"/>
    <mergeCell ref="F11:F13"/>
    <mergeCell ref="G11:G13"/>
    <mergeCell ref="B12:D12"/>
    <mergeCell ref="B13:D13"/>
    <mergeCell ref="B18:D18"/>
    <mergeCell ref="B19:D19"/>
    <mergeCell ref="B22:D22"/>
    <mergeCell ref="E22:E24"/>
    <mergeCell ref="F22:F24"/>
    <mergeCell ref="G22:G24"/>
    <mergeCell ref="B23:D23"/>
    <mergeCell ref="B24:D24"/>
    <mergeCell ref="B30:D30"/>
    <mergeCell ref="B31:D31"/>
    <mergeCell ref="B34:D34"/>
    <mergeCell ref="E34:E36"/>
    <mergeCell ref="F34:F36"/>
    <mergeCell ref="G34:G36"/>
    <mergeCell ref="B35:D35"/>
    <mergeCell ref="B36:D36"/>
    <mergeCell ref="B49:D49"/>
    <mergeCell ref="B50:D50"/>
    <mergeCell ref="E53:E55"/>
    <mergeCell ref="F53:F55"/>
    <mergeCell ref="G53:G55"/>
    <mergeCell ref="B55:D55"/>
    <mergeCell ref="B69:D69"/>
    <mergeCell ref="B70:D70"/>
    <mergeCell ref="B81:D81"/>
    <mergeCell ref="B82:D82"/>
    <mergeCell ref="B83:D83"/>
    <mergeCell ref="B53:D53"/>
    <mergeCell ref="B54:D54"/>
    <mergeCell ref="B65:D65"/>
    <mergeCell ref="B66:D66"/>
    <mergeCell ref="E69:E71"/>
    <mergeCell ref="F69:F71"/>
    <mergeCell ref="G69:G71"/>
    <mergeCell ref="B71:D7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4.14"/>
    <col customWidth="1" min="3" max="3" width="6.86"/>
    <col customWidth="1" min="4" max="4" width="26.0"/>
    <col customWidth="1" min="5" max="5" width="14.71"/>
    <col customWidth="1" min="6" max="6" width="20.43"/>
    <col customWidth="1" min="7" max="7" width="22.86"/>
    <col customWidth="1" min="8" max="8" width="18.71"/>
    <col customWidth="1" min="9" max="10" width="10.71"/>
    <col customWidth="1" min="11" max="11" width="17.71"/>
    <col customWidth="1" min="12" max="12" width="15.86"/>
    <col customWidth="1" min="13" max="26" width="10.71"/>
  </cols>
  <sheetData>
    <row r="2">
      <c r="B2" s="1" t="s">
        <v>0</v>
      </c>
      <c r="C2" s="2"/>
      <c r="D2" s="3"/>
      <c r="E2" s="4"/>
      <c r="F2" s="4"/>
      <c r="G2" s="4"/>
      <c r="H2" s="5"/>
      <c r="J2" s="5"/>
      <c r="K2" s="5"/>
      <c r="L2" s="5"/>
    </row>
    <row r="3">
      <c r="B3" s="6" t="s">
        <v>315</v>
      </c>
      <c r="C3" s="2"/>
      <c r="D3" s="3"/>
      <c r="E3" s="7"/>
      <c r="F3" s="7"/>
      <c r="G3" s="7"/>
      <c r="H3" s="5"/>
      <c r="J3" s="5"/>
      <c r="K3" s="5"/>
      <c r="L3" s="5"/>
    </row>
    <row r="4">
      <c r="B4" s="8" t="s">
        <v>2</v>
      </c>
      <c r="C4" s="2"/>
      <c r="D4" s="3"/>
      <c r="E4" s="9"/>
      <c r="F4" s="9"/>
      <c r="G4" s="9"/>
      <c r="H4" s="10"/>
      <c r="J4" s="10"/>
      <c r="K4" s="10"/>
      <c r="L4" s="10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  <c r="H5" s="13"/>
      <c r="J5" s="13"/>
      <c r="K5" s="13"/>
      <c r="L5" s="13"/>
    </row>
    <row r="6">
      <c r="B6" s="14" t="s">
        <v>12</v>
      </c>
      <c r="C6" s="15">
        <v>209.0</v>
      </c>
      <c r="D6" s="16" t="s">
        <v>316</v>
      </c>
      <c r="E6" s="17">
        <v>119000.0</v>
      </c>
      <c r="F6" s="17">
        <v>68000.0</v>
      </c>
      <c r="G6" s="17">
        <v>51000.0</v>
      </c>
      <c r="H6" s="18"/>
      <c r="J6" s="19"/>
      <c r="L6" s="18"/>
    </row>
    <row r="7">
      <c r="B7" s="14" t="s">
        <v>178</v>
      </c>
      <c r="C7" s="15">
        <v>184.0</v>
      </c>
      <c r="D7" s="16" t="s">
        <v>317</v>
      </c>
      <c r="E7" s="17">
        <v>124250.0</v>
      </c>
      <c r="F7" s="17">
        <v>71000.0</v>
      </c>
      <c r="G7" s="17">
        <v>53250.0</v>
      </c>
      <c r="H7" s="18"/>
      <c r="J7" s="10"/>
      <c r="K7" s="10"/>
      <c r="L7" s="31"/>
    </row>
    <row r="8">
      <c r="B8" s="20" t="s">
        <v>19</v>
      </c>
      <c r="C8" s="2"/>
      <c r="D8" s="3"/>
      <c r="E8" s="21">
        <f t="shared" ref="E8:G8" si="1">SUM(E6:E7)</f>
        <v>243250</v>
      </c>
      <c r="F8" s="21">
        <f t="shared" si="1"/>
        <v>139000</v>
      </c>
      <c r="G8" s="22">
        <f t="shared" si="1"/>
        <v>104250</v>
      </c>
      <c r="H8" s="23" t="s">
        <v>20</v>
      </c>
      <c r="J8" s="19"/>
      <c r="L8" s="18"/>
    </row>
    <row r="9">
      <c r="B9" s="20" t="s">
        <v>218</v>
      </c>
      <c r="C9" s="2"/>
      <c r="D9" s="3"/>
      <c r="E9" s="21"/>
      <c r="F9" s="21">
        <f>SUM(F8)</f>
        <v>139000</v>
      </c>
      <c r="G9" s="21"/>
      <c r="H9" s="5"/>
      <c r="J9" s="10"/>
      <c r="K9" s="10"/>
      <c r="L9" s="31"/>
    </row>
    <row r="10">
      <c r="B10" s="19"/>
      <c r="G10" s="5"/>
      <c r="H10" s="5"/>
      <c r="J10" s="10"/>
      <c r="K10" s="10"/>
      <c r="L10" s="31"/>
    </row>
    <row r="11">
      <c r="B11" s="5"/>
      <c r="C11" s="5"/>
      <c r="D11" s="5"/>
      <c r="G11" s="10"/>
      <c r="H11" s="10"/>
    </row>
    <row r="12">
      <c r="B12" s="1" t="s">
        <v>0</v>
      </c>
      <c r="C12" s="2"/>
      <c r="D12" s="3"/>
      <c r="E12" s="28"/>
      <c r="F12" s="28"/>
      <c r="G12" s="28"/>
      <c r="H12" s="13"/>
    </row>
    <row r="13">
      <c r="B13" s="6" t="s">
        <v>315</v>
      </c>
      <c r="C13" s="2"/>
      <c r="D13" s="3"/>
      <c r="E13" s="7"/>
      <c r="F13" s="7"/>
      <c r="G13" s="7"/>
      <c r="H13" s="27"/>
    </row>
    <row r="14">
      <c r="B14" s="8" t="s">
        <v>22</v>
      </c>
      <c r="C14" s="2"/>
      <c r="D14" s="3"/>
      <c r="E14" s="9"/>
      <c r="F14" s="9"/>
      <c r="G14" s="9"/>
      <c r="H14" s="27"/>
    </row>
    <row r="15">
      <c r="B15" s="47" t="s">
        <v>3</v>
      </c>
      <c r="C15" s="47" t="s">
        <v>4</v>
      </c>
      <c r="D15" s="47" t="s">
        <v>5</v>
      </c>
      <c r="E15" s="47" t="s">
        <v>6</v>
      </c>
      <c r="F15" s="47" t="s">
        <v>7</v>
      </c>
      <c r="G15" s="48" t="s">
        <v>8</v>
      </c>
      <c r="H15" s="26"/>
    </row>
    <row r="16">
      <c r="B16" s="14" t="s">
        <v>29</v>
      </c>
      <c r="C16" s="15">
        <v>187.0</v>
      </c>
      <c r="D16" s="16" t="s">
        <v>318</v>
      </c>
      <c r="E16" s="30">
        <v>148750.0</v>
      </c>
      <c r="F16" s="17">
        <v>85000.0</v>
      </c>
      <c r="G16" s="30">
        <v>63750.0</v>
      </c>
      <c r="H16" s="13"/>
    </row>
    <row r="17">
      <c r="B17" s="14" t="s">
        <v>29</v>
      </c>
      <c r="C17" s="15">
        <v>177.0</v>
      </c>
      <c r="D17" s="16" t="s">
        <v>319</v>
      </c>
      <c r="E17" s="30">
        <v>70000.0</v>
      </c>
      <c r="F17" s="17">
        <v>40000.0</v>
      </c>
      <c r="G17" s="30">
        <v>30000.0</v>
      </c>
      <c r="H17" s="18"/>
    </row>
    <row r="18">
      <c r="B18" s="14" t="s">
        <v>29</v>
      </c>
      <c r="C18" s="15">
        <v>177.0</v>
      </c>
      <c r="D18" s="16" t="s">
        <v>319</v>
      </c>
      <c r="E18" s="30">
        <v>70000.0</v>
      </c>
      <c r="F18" s="17">
        <v>40000.0</v>
      </c>
      <c r="G18" s="30">
        <v>30000.0</v>
      </c>
      <c r="H18" s="31"/>
    </row>
    <row r="19">
      <c r="B19" s="14" t="s">
        <v>29</v>
      </c>
      <c r="C19" s="15">
        <v>210.0</v>
      </c>
      <c r="D19" s="16" t="s">
        <v>320</v>
      </c>
      <c r="E19" s="30">
        <v>74025.0</v>
      </c>
      <c r="F19" s="17">
        <v>42300.0</v>
      </c>
      <c r="G19" s="30">
        <v>31750.0</v>
      </c>
      <c r="H19" s="18"/>
    </row>
    <row r="20">
      <c r="B20" s="14" t="s">
        <v>40</v>
      </c>
      <c r="C20" s="15">
        <v>177.0</v>
      </c>
      <c r="D20" s="16" t="s">
        <v>319</v>
      </c>
      <c r="E20" s="30">
        <v>70000.0</v>
      </c>
      <c r="F20" s="17">
        <v>40000.0</v>
      </c>
      <c r="G20" s="30">
        <v>30000.0</v>
      </c>
      <c r="H20" s="5"/>
    </row>
    <row r="21">
      <c r="B21" s="14" t="s">
        <v>40</v>
      </c>
      <c r="C21" s="15">
        <v>177.0</v>
      </c>
      <c r="D21" s="16" t="s">
        <v>321</v>
      </c>
      <c r="E21" s="30">
        <v>63000.0</v>
      </c>
      <c r="F21" s="17">
        <v>36000.0</v>
      </c>
      <c r="G21" s="30">
        <v>27000.0</v>
      </c>
      <c r="H21" s="5"/>
    </row>
    <row r="22" ht="15.75" customHeight="1">
      <c r="B22" s="14" t="s">
        <v>40</v>
      </c>
      <c r="C22" s="15">
        <v>177.0</v>
      </c>
      <c r="D22" s="16" t="s">
        <v>321</v>
      </c>
      <c r="E22" s="30">
        <v>63000.0</v>
      </c>
      <c r="F22" s="17">
        <v>36000.0</v>
      </c>
      <c r="G22" s="30">
        <v>27000.0</v>
      </c>
      <c r="H22" s="10"/>
    </row>
    <row r="23" ht="15.75" customHeight="1">
      <c r="B23" s="14" t="s">
        <v>43</v>
      </c>
      <c r="C23" s="15">
        <v>187.0</v>
      </c>
      <c r="D23" s="16" t="s">
        <v>318</v>
      </c>
      <c r="E23" s="30">
        <v>148750.0</v>
      </c>
      <c r="F23" s="17">
        <v>85000.0</v>
      </c>
      <c r="G23" s="30">
        <v>63750.0</v>
      </c>
      <c r="H23" s="13"/>
    </row>
    <row r="24" ht="15.75" customHeight="1">
      <c r="B24" s="14" t="s">
        <v>322</v>
      </c>
      <c r="C24" s="15">
        <v>201.0</v>
      </c>
      <c r="D24" s="16" t="s">
        <v>323</v>
      </c>
      <c r="E24" s="30">
        <v>24000.0</v>
      </c>
      <c r="F24" s="17">
        <v>13500.0</v>
      </c>
      <c r="G24" s="30">
        <v>10500.0</v>
      </c>
      <c r="H24" s="18"/>
    </row>
    <row r="25" ht="15.75" customHeight="1">
      <c r="B25" s="14" t="s">
        <v>322</v>
      </c>
      <c r="C25" s="15">
        <v>175.0</v>
      </c>
      <c r="D25" s="16" t="s">
        <v>324</v>
      </c>
      <c r="E25" s="30">
        <v>22750.0</v>
      </c>
      <c r="F25" s="17">
        <v>13000.0</v>
      </c>
      <c r="G25" s="30">
        <v>9750.0</v>
      </c>
      <c r="H25" s="18"/>
    </row>
    <row r="26" ht="15.75" customHeight="1">
      <c r="B26" s="14" t="s">
        <v>47</v>
      </c>
      <c r="C26" s="15">
        <v>174.0</v>
      </c>
      <c r="D26" s="16" t="s">
        <v>325</v>
      </c>
      <c r="E26" s="30">
        <v>42000.0</v>
      </c>
      <c r="F26" s="17">
        <v>24000.0</v>
      </c>
      <c r="G26" s="30">
        <v>18000.0</v>
      </c>
      <c r="H26" s="31"/>
    </row>
    <row r="27" ht="15.75" customHeight="1">
      <c r="B27" s="14" t="s">
        <v>56</v>
      </c>
      <c r="C27" s="15">
        <v>171.0</v>
      </c>
      <c r="D27" s="16" t="s">
        <v>326</v>
      </c>
      <c r="E27" s="30">
        <v>73500.0</v>
      </c>
      <c r="F27" s="17">
        <v>67500.0</v>
      </c>
      <c r="G27" s="30">
        <v>6000.0</v>
      </c>
    </row>
    <row r="28" ht="15.75" customHeight="1">
      <c r="B28" s="14" t="s">
        <v>56</v>
      </c>
      <c r="C28" s="15">
        <v>187.0</v>
      </c>
      <c r="D28" s="16" t="s">
        <v>318</v>
      </c>
      <c r="E28" s="30">
        <v>148750.0</v>
      </c>
      <c r="F28" s="17">
        <v>85000.0</v>
      </c>
      <c r="G28" s="30">
        <v>63750.0</v>
      </c>
      <c r="H28" s="5"/>
    </row>
    <row r="29" ht="15.75" customHeight="1">
      <c r="B29" s="14" t="s">
        <v>56</v>
      </c>
      <c r="C29" s="15">
        <v>170.0</v>
      </c>
      <c r="D29" s="16" t="s">
        <v>327</v>
      </c>
      <c r="E29" s="30">
        <v>66150.0</v>
      </c>
      <c r="F29" s="17">
        <v>42000.0</v>
      </c>
      <c r="G29" s="30">
        <v>28150.0</v>
      </c>
      <c r="H29" s="5"/>
    </row>
    <row r="30" ht="15.75" customHeight="1">
      <c r="B30" s="14" t="s">
        <v>56</v>
      </c>
      <c r="C30" s="15">
        <v>207.0</v>
      </c>
      <c r="D30" s="16" t="s">
        <v>328</v>
      </c>
      <c r="E30" s="30">
        <v>59850.0</v>
      </c>
      <c r="F30" s="17">
        <v>38000.0</v>
      </c>
      <c r="G30" s="30">
        <v>21850.0</v>
      </c>
      <c r="H30" s="10"/>
    </row>
    <row r="31" ht="15.75" customHeight="1">
      <c r="B31" s="14" t="s">
        <v>60</v>
      </c>
      <c r="C31" s="15">
        <v>207.0</v>
      </c>
      <c r="D31" s="16" t="s">
        <v>328</v>
      </c>
      <c r="E31" s="30">
        <v>66500.0</v>
      </c>
      <c r="F31" s="17">
        <v>38000.0</v>
      </c>
      <c r="G31" s="30">
        <v>28500.0</v>
      </c>
      <c r="H31" s="13"/>
    </row>
    <row r="32" ht="15.75" customHeight="1">
      <c r="B32" s="14" t="s">
        <v>60</v>
      </c>
      <c r="C32" s="15">
        <v>171.0</v>
      </c>
      <c r="D32" s="16" t="s">
        <v>326</v>
      </c>
      <c r="E32" s="30">
        <v>73500.0</v>
      </c>
      <c r="F32" s="17">
        <v>67500.0</v>
      </c>
      <c r="G32" s="30">
        <v>6000.0</v>
      </c>
      <c r="H32" s="18"/>
    </row>
    <row r="33" ht="15.75" customHeight="1">
      <c r="B33" s="14" t="s">
        <v>60</v>
      </c>
      <c r="C33" s="15">
        <v>177.0</v>
      </c>
      <c r="D33" s="16" t="s">
        <v>319</v>
      </c>
      <c r="E33" s="30">
        <v>70000.0</v>
      </c>
      <c r="F33" s="17">
        <v>40000.0</v>
      </c>
      <c r="G33" s="30">
        <v>30000.0</v>
      </c>
      <c r="H33" s="31"/>
      <c r="K33" s="5"/>
      <c r="L33" s="5"/>
      <c r="M33" s="5"/>
    </row>
    <row r="34" ht="15.75" customHeight="1">
      <c r="B34" s="14" t="s">
        <v>60</v>
      </c>
      <c r="C34" s="15">
        <v>207.0</v>
      </c>
      <c r="D34" s="16" t="s">
        <v>328</v>
      </c>
      <c r="E34" s="30">
        <v>66500.0</v>
      </c>
      <c r="F34" s="17">
        <v>38000.0</v>
      </c>
      <c r="G34" s="30">
        <v>28500.0</v>
      </c>
      <c r="H34" s="31"/>
      <c r="K34" s="5"/>
      <c r="L34" s="5"/>
      <c r="M34" s="5"/>
    </row>
    <row r="35" ht="15.75" customHeight="1">
      <c r="B35" s="14" t="s">
        <v>60</v>
      </c>
      <c r="C35" s="15">
        <v>177.0</v>
      </c>
      <c r="D35" s="16" t="s">
        <v>319</v>
      </c>
      <c r="E35" s="30">
        <v>70000.0</v>
      </c>
      <c r="F35" s="17">
        <v>40000.0</v>
      </c>
      <c r="G35" s="30">
        <v>30000.0</v>
      </c>
      <c r="K35" s="10"/>
      <c r="L35" s="10"/>
      <c r="M35" s="10"/>
    </row>
    <row r="36" ht="15.75" customHeight="1">
      <c r="B36" s="20" t="s">
        <v>19</v>
      </c>
      <c r="C36" s="2"/>
      <c r="D36" s="3"/>
      <c r="E36" s="33">
        <f t="shared" ref="E36:G36" si="2">SUM(E16:E35)</f>
        <v>1491025</v>
      </c>
      <c r="F36" s="21">
        <f t="shared" si="2"/>
        <v>910800</v>
      </c>
      <c r="G36" s="49">
        <f t="shared" si="2"/>
        <v>584250</v>
      </c>
      <c r="H36" s="23" t="s">
        <v>20</v>
      </c>
      <c r="K36" s="13"/>
      <c r="L36" s="13"/>
      <c r="M36" s="13"/>
    </row>
    <row r="37" ht="15.75" customHeight="1">
      <c r="B37" s="20" t="s">
        <v>218</v>
      </c>
      <c r="C37" s="2"/>
      <c r="D37" s="3"/>
      <c r="E37" s="33"/>
      <c r="F37" s="21">
        <f>SUM(F36)</f>
        <v>910800</v>
      </c>
      <c r="G37" s="33"/>
      <c r="K37" s="19"/>
      <c r="M37" s="18"/>
    </row>
    <row r="38" ht="15.75" customHeight="1">
      <c r="B38" s="10"/>
      <c r="C38" s="10"/>
      <c r="D38" s="26"/>
      <c r="K38" s="19"/>
      <c r="M38" s="18"/>
    </row>
    <row r="39" ht="15.75" customHeight="1">
      <c r="B39" s="5"/>
      <c r="C39" s="5"/>
      <c r="D39" s="31"/>
      <c r="K39" s="19"/>
      <c r="M39" s="18"/>
    </row>
    <row r="40" ht="15.75" customHeight="1">
      <c r="B40" s="1" t="s">
        <v>0</v>
      </c>
      <c r="C40" s="2"/>
      <c r="D40" s="3"/>
      <c r="E40" s="4"/>
      <c r="F40" s="4"/>
      <c r="G40" s="4"/>
      <c r="K40" s="19"/>
      <c r="M40" s="18"/>
    </row>
    <row r="41" ht="15.75" customHeight="1">
      <c r="B41" s="6" t="s">
        <v>315</v>
      </c>
      <c r="C41" s="2"/>
      <c r="D41" s="3"/>
      <c r="E41" s="7"/>
      <c r="F41" s="7"/>
      <c r="G41" s="7"/>
      <c r="K41" s="19"/>
      <c r="L41" s="19"/>
      <c r="M41" s="18"/>
    </row>
    <row r="42" ht="15.75" customHeight="1">
      <c r="B42" s="8" t="s">
        <v>64</v>
      </c>
      <c r="C42" s="2"/>
      <c r="D42" s="3"/>
      <c r="E42" s="9"/>
      <c r="F42" s="9"/>
      <c r="G42" s="9"/>
      <c r="K42" s="19"/>
      <c r="M42" s="18"/>
    </row>
    <row r="43" ht="15.75" customHeight="1">
      <c r="B43" s="11" t="s">
        <v>3</v>
      </c>
      <c r="C43" s="11" t="s">
        <v>4</v>
      </c>
      <c r="D43" s="11" t="s">
        <v>5</v>
      </c>
      <c r="E43" s="11" t="s">
        <v>6</v>
      </c>
      <c r="F43" s="11" t="s">
        <v>7</v>
      </c>
      <c r="G43" s="12" t="s">
        <v>8</v>
      </c>
      <c r="K43" s="19"/>
      <c r="M43" s="18"/>
    </row>
    <row r="44" ht="15.75" customHeight="1">
      <c r="B44" s="14" t="s">
        <v>65</v>
      </c>
      <c r="C44" s="15">
        <v>171.0</v>
      </c>
      <c r="D44" s="16" t="s">
        <v>326</v>
      </c>
      <c r="E44" s="17">
        <v>75000.0</v>
      </c>
      <c r="F44" s="17">
        <v>67500.0</v>
      </c>
      <c r="G44" s="17">
        <v>7500.0</v>
      </c>
      <c r="K44" s="19"/>
      <c r="M44" s="18"/>
    </row>
    <row r="45" ht="15.75" customHeight="1">
      <c r="B45" s="14" t="s">
        <v>65</v>
      </c>
      <c r="C45" s="15">
        <v>168.0</v>
      </c>
      <c r="D45" s="16" t="s">
        <v>329</v>
      </c>
      <c r="E45" s="17">
        <v>157500.0</v>
      </c>
      <c r="F45" s="17">
        <v>90000.0</v>
      </c>
      <c r="G45" s="17">
        <v>67500.0</v>
      </c>
      <c r="K45" s="5"/>
      <c r="L45" s="5"/>
      <c r="M45" s="31"/>
    </row>
    <row r="46" ht="15.75" customHeight="1">
      <c r="B46" s="14" t="s">
        <v>195</v>
      </c>
      <c r="C46" s="15">
        <v>183.0</v>
      </c>
      <c r="D46" s="16" t="s">
        <v>330</v>
      </c>
      <c r="E46" s="17">
        <v>173250.0</v>
      </c>
      <c r="F46" s="17">
        <v>99000.0</v>
      </c>
      <c r="G46" s="17">
        <v>74250.0</v>
      </c>
    </row>
    <row r="47" ht="15.75" customHeight="1">
      <c r="B47" s="14" t="s">
        <v>68</v>
      </c>
      <c r="C47" s="15">
        <v>175.0</v>
      </c>
      <c r="D47" s="16" t="s">
        <v>324</v>
      </c>
      <c r="E47" s="17">
        <v>22750.0</v>
      </c>
      <c r="F47" s="17">
        <v>13000.0</v>
      </c>
      <c r="G47" s="17">
        <v>9750.0</v>
      </c>
    </row>
    <row r="48" ht="15.75" customHeight="1">
      <c r="B48" s="14" t="s">
        <v>198</v>
      </c>
      <c r="C48" s="15">
        <v>207.0</v>
      </c>
      <c r="D48" s="16" t="s">
        <v>331</v>
      </c>
      <c r="E48" s="17">
        <v>66500.0</v>
      </c>
      <c r="F48" s="17">
        <v>38000.0</v>
      </c>
      <c r="G48" s="17">
        <v>28500.0</v>
      </c>
    </row>
    <row r="49" ht="15.75" customHeight="1">
      <c r="B49" s="14" t="s">
        <v>70</v>
      </c>
      <c r="C49" s="15">
        <v>171.0</v>
      </c>
      <c r="D49" s="16" t="s">
        <v>332</v>
      </c>
      <c r="E49" s="17">
        <v>131250.0</v>
      </c>
      <c r="F49" s="17">
        <v>75000.0</v>
      </c>
      <c r="G49" s="17">
        <v>56250.0</v>
      </c>
      <c r="K49" s="5"/>
      <c r="L49" s="5"/>
      <c r="M49" s="5"/>
    </row>
    <row r="50" ht="15.75" customHeight="1">
      <c r="B50" s="14" t="s">
        <v>73</v>
      </c>
      <c r="C50" s="15">
        <v>169.0</v>
      </c>
      <c r="D50" s="16" t="s">
        <v>333</v>
      </c>
      <c r="E50" s="17">
        <v>101500.0</v>
      </c>
      <c r="F50" s="17">
        <v>58000.0</v>
      </c>
      <c r="G50" s="17">
        <v>43500.0</v>
      </c>
      <c r="K50" s="5"/>
      <c r="L50" s="5"/>
      <c r="M50" s="5"/>
    </row>
    <row r="51" ht="15.75" customHeight="1">
      <c r="B51" s="14" t="s">
        <v>78</v>
      </c>
      <c r="C51" s="15">
        <v>210.0</v>
      </c>
      <c r="D51" s="16" t="s">
        <v>334</v>
      </c>
      <c r="E51" s="17">
        <v>82250.0</v>
      </c>
      <c r="F51" s="17">
        <v>47000.0</v>
      </c>
      <c r="G51" s="17">
        <v>35150.0</v>
      </c>
      <c r="K51" s="10"/>
      <c r="L51" s="10"/>
      <c r="M51" s="10"/>
    </row>
    <row r="52" ht="15.75" customHeight="1">
      <c r="B52" s="14" t="s">
        <v>86</v>
      </c>
      <c r="C52" s="15">
        <v>173.0</v>
      </c>
      <c r="D52" s="16" t="s">
        <v>335</v>
      </c>
      <c r="E52" s="17">
        <v>92750.0</v>
      </c>
      <c r="F52" s="17">
        <v>53000.0</v>
      </c>
      <c r="G52" s="17">
        <v>39750.0</v>
      </c>
      <c r="K52" s="13"/>
      <c r="L52" s="13"/>
      <c r="M52" s="13"/>
    </row>
    <row r="53" ht="15.75" customHeight="1">
      <c r="B53" s="14" t="s">
        <v>86</v>
      </c>
      <c r="C53" s="15">
        <v>173.0</v>
      </c>
      <c r="D53" s="16" t="s">
        <v>335</v>
      </c>
      <c r="E53" s="17">
        <v>92750.0</v>
      </c>
      <c r="F53" s="17">
        <v>53000.0</v>
      </c>
      <c r="G53" s="17">
        <v>39750.0</v>
      </c>
      <c r="K53" s="19"/>
      <c r="M53" s="18"/>
    </row>
    <row r="54" ht="15.75" customHeight="1">
      <c r="B54" s="14" t="s">
        <v>90</v>
      </c>
      <c r="C54" s="15">
        <v>177.0</v>
      </c>
      <c r="D54" s="16" t="s">
        <v>319</v>
      </c>
      <c r="E54" s="17">
        <v>70000.0</v>
      </c>
      <c r="F54" s="17">
        <v>40000.0</v>
      </c>
      <c r="G54" s="17">
        <v>30000.0</v>
      </c>
      <c r="K54" s="19"/>
      <c r="M54" s="18"/>
    </row>
    <row r="55" ht="15.75" customHeight="1">
      <c r="B55" s="14" t="s">
        <v>90</v>
      </c>
      <c r="C55" s="15">
        <v>173.0</v>
      </c>
      <c r="D55" s="16" t="s">
        <v>335</v>
      </c>
      <c r="E55" s="17">
        <v>92750.0</v>
      </c>
      <c r="F55" s="17">
        <v>53000.0</v>
      </c>
      <c r="G55" s="17">
        <v>39750.0</v>
      </c>
      <c r="K55" s="5"/>
      <c r="L55" s="5"/>
      <c r="M55" s="31"/>
    </row>
    <row r="56" ht="15.75" customHeight="1">
      <c r="B56" s="14" t="s">
        <v>91</v>
      </c>
      <c r="C56" s="15">
        <v>173.0</v>
      </c>
      <c r="D56" s="16" t="s">
        <v>335</v>
      </c>
      <c r="E56" s="17">
        <v>92750.0</v>
      </c>
      <c r="F56" s="17">
        <v>53000.0</v>
      </c>
      <c r="G56" s="17">
        <v>39750.0</v>
      </c>
    </row>
    <row r="57" ht="15.75" customHeight="1">
      <c r="B57" s="14" t="s">
        <v>94</v>
      </c>
      <c r="C57" s="15">
        <v>174.0</v>
      </c>
      <c r="D57" s="16" t="s">
        <v>325</v>
      </c>
      <c r="E57" s="17">
        <v>42000.0</v>
      </c>
      <c r="F57" s="17">
        <v>24000.0</v>
      </c>
      <c r="G57" s="17">
        <v>18000.0</v>
      </c>
      <c r="K57" s="5"/>
      <c r="L57" s="5"/>
      <c r="M57" s="5"/>
    </row>
    <row r="58" ht="15.75" customHeight="1">
      <c r="B58" s="14" t="s">
        <v>227</v>
      </c>
      <c r="C58" s="15">
        <v>177.0</v>
      </c>
      <c r="D58" s="16" t="s">
        <v>319</v>
      </c>
      <c r="E58" s="17">
        <v>70000.0</v>
      </c>
      <c r="F58" s="17">
        <v>40000.0</v>
      </c>
      <c r="G58" s="17">
        <v>30000.0</v>
      </c>
      <c r="K58" s="5"/>
      <c r="L58" s="5"/>
      <c r="M58" s="5"/>
    </row>
    <row r="59" ht="15.75" customHeight="1">
      <c r="B59" s="14" t="s">
        <v>99</v>
      </c>
      <c r="C59" s="15">
        <v>169.0</v>
      </c>
      <c r="D59" s="16" t="s">
        <v>333</v>
      </c>
      <c r="E59" s="17">
        <v>101500.0</v>
      </c>
      <c r="F59" s="17">
        <v>58000.0</v>
      </c>
      <c r="G59" s="17">
        <v>43500.0</v>
      </c>
      <c r="K59" s="10"/>
      <c r="L59" s="10"/>
      <c r="M59" s="10"/>
    </row>
    <row r="60" ht="15.75" customHeight="1">
      <c r="B60" s="20" t="s">
        <v>216</v>
      </c>
      <c r="C60" s="2"/>
      <c r="D60" s="3"/>
      <c r="E60" s="21">
        <f t="shared" ref="E60:G60" si="3">SUM(E44:E59)</f>
        <v>1464500</v>
      </c>
      <c r="F60" s="21">
        <f t="shared" si="3"/>
        <v>861500</v>
      </c>
      <c r="G60" s="22">
        <f t="shared" si="3"/>
        <v>602900</v>
      </c>
      <c r="H60" s="23" t="s">
        <v>20</v>
      </c>
      <c r="K60" s="13"/>
      <c r="L60" s="13"/>
      <c r="M60" s="13"/>
    </row>
    <row r="61" ht="15.75" customHeight="1">
      <c r="B61" s="20" t="s">
        <v>218</v>
      </c>
      <c r="C61" s="2"/>
      <c r="D61" s="3"/>
      <c r="E61" s="21"/>
      <c r="F61" s="21">
        <f>SUM(F60)</f>
        <v>861500</v>
      </c>
      <c r="G61" s="21"/>
      <c r="K61" s="19"/>
      <c r="M61" s="18"/>
    </row>
    <row r="62" ht="15.75" customHeight="1">
      <c r="B62" s="5"/>
      <c r="C62" s="5"/>
      <c r="D62" s="5"/>
      <c r="K62" s="19"/>
      <c r="M62" s="18"/>
    </row>
    <row r="63" ht="15.75" customHeight="1">
      <c r="B63" s="5"/>
      <c r="C63" s="5"/>
      <c r="D63" s="5"/>
      <c r="K63" s="19"/>
      <c r="M63" s="18"/>
    </row>
    <row r="64" ht="15.75" customHeight="1">
      <c r="B64" s="1" t="s">
        <v>0</v>
      </c>
      <c r="C64" s="2"/>
      <c r="D64" s="3"/>
      <c r="E64" s="28"/>
      <c r="F64" s="28"/>
      <c r="G64" s="28"/>
      <c r="K64" s="5"/>
      <c r="L64" s="5"/>
      <c r="M64" s="31"/>
    </row>
    <row r="65" ht="15.75" customHeight="1">
      <c r="B65" s="6" t="s">
        <v>315</v>
      </c>
      <c r="C65" s="2"/>
      <c r="D65" s="3"/>
      <c r="E65" s="7"/>
      <c r="F65" s="7"/>
      <c r="G65" s="7"/>
    </row>
    <row r="66" ht="15.75" customHeight="1">
      <c r="B66" s="8" t="s">
        <v>101</v>
      </c>
      <c r="C66" s="2"/>
      <c r="D66" s="3"/>
      <c r="E66" s="9"/>
      <c r="F66" s="9"/>
      <c r="G66" s="9"/>
    </row>
    <row r="67" ht="15.75" customHeight="1">
      <c r="B67" s="47" t="s">
        <v>3</v>
      </c>
      <c r="C67" s="47" t="s">
        <v>4</v>
      </c>
      <c r="D67" s="47" t="s">
        <v>5</v>
      </c>
      <c r="E67" s="47" t="s">
        <v>6</v>
      </c>
      <c r="F67" s="47" t="s">
        <v>7</v>
      </c>
      <c r="G67" s="48" t="s">
        <v>8</v>
      </c>
    </row>
    <row r="68" ht="15.75" customHeight="1">
      <c r="B68" s="14" t="s">
        <v>102</v>
      </c>
      <c r="C68" s="15">
        <v>173.0</v>
      </c>
      <c r="D68" s="16" t="s">
        <v>335</v>
      </c>
      <c r="E68" s="17">
        <v>92750.0</v>
      </c>
      <c r="F68" s="17">
        <v>53000.0</v>
      </c>
      <c r="G68" s="17">
        <v>39750.0</v>
      </c>
    </row>
    <row r="69" ht="15.75" customHeight="1">
      <c r="B69" s="14" t="s">
        <v>104</v>
      </c>
      <c r="C69" s="15">
        <v>175.0</v>
      </c>
      <c r="D69" s="16" t="s">
        <v>324</v>
      </c>
      <c r="E69" s="17">
        <v>22750.0</v>
      </c>
      <c r="F69" s="17">
        <v>13000.0</v>
      </c>
      <c r="G69" s="17">
        <v>9750.0</v>
      </c>
    </row>
    <row r="70" ht="15.75" customHeight="1">
      <c r="B70" s="14" t="s">
        <v>336</v>
      </c>
      <c r="C70" s="15">
        <v>177.0</v>
      </c>
      <c r="D70" s="16" t="s">
        <v>319</v>
      </c>
      <c r="E70" s="30">
        <v>70000.0</v>
      </c>
      <c r="F70" s="17">
        <v>40000.0</v>
      </c>
      <c r="G70" s="30">
        <v>30000.0</v>
      </c>
    </row>
    <row r="71" ht="15.75" customHeight="1">
      <c r="B71" s="14" t="s">
        <v>110</v>
      </c>
      <c r="C71" s="15">
        <v>177.0</v>
      </c>
      <c r="D71" s="16" t="s">
        <v>319</v>
      </c>
      <c r="E71" s="30">
        <v>70000.0</v>
      </c>
      <c r="F71" s="17">
        <v>40000.0</v>
      </c>
      <c r="G71" s="30">
        <v>30000.0</v>
      </c>
    </row>
    <row r="72" ht="15.75" customHeight="1">
      <c r="B72" s="14" t="s">
        <v>243</v>
      </c>
      <c r="C72" s="15">
        <v>187.0</v>
      </c>
      <c r="D72" s="16" t="s">
        <v>318</v>
      </c>
      <c r="E72" s="30">
        <v>148750.0</v>
      </c>
      <c r="F72" s="17">
        <v>85000.0</v>
      </c>
      <c r="G72" s="30">
        <v>63750.0</v>
      </c>
    </row>
    <row r="73" ht="15.75" customHeight="1">
      <c r="B73" s="14" t="s">
        <v>116</v>
      </c>
      <c r="C73" s="15">
        <v>170.0</v>
      </c>
      <c r="D73" s="16" t="s">
        <v>327</v>
      </c>
      <c r="E73" s="30">
        <v>73500.0</v>
      </c>
      <c r="F73" s="17">
        <v>42000.0</v>
      </c>
      <c r="G73" s="30">
        <v>31500.0</v>
      </c>
    </row>
    <row r="74" ht="15.75" customHeight="1">
      <c r="B74" s="14" t="s">
        <v>337</v>
      </c>
      <c r="C74" s="15">
        <v>173.0</v>
      </c>
      <c r="D74" s="16" t="s">
        <v>335</v>
      </c>
      <c r="E74" s="17">
        <v>92750.0</v>
      </c>
      <c r="F74" s="17">
        <v>53000.0</v>
      </c>
      <c r="G74" s="17">
        <v>39750.0</v>
      </c>
    </row>
    <row r="75" ht="15.75" customHeight="1">
      <c r="B75" s="14" t="s">
        <v>205</v>
      </c>
      <c r="C75" s="15">
        <v>168.0</v>
      </c>
      <c r="D75" s="16" t="s">
        <v>338</v>
      </c>
      <c r="E75" s="17">
        <v>157500.0</v>
      </c>
      <c r="F75" s="17">
        <v>89000.0</v>
      </c>
      <c r="G75" s="17">
        <v>68500.0</v>
      </c>
    </row>
    <row r="76" ht="15.75" customHeight="1">
      <c r="B76" s="14" t="s">
        <v>339</v>
      </c>
      <c r="C76" s="15">
        <v>169.0</v>
      </c>
      <c r="D76" s="16" t="s">
        <v>333</v>
      </c>
      <c r="E76" s="17">
        <v>101500.0</v>
      </c>
      <c r="F76" s="17">
        <v>58000.0</v>
      </c>
      <c r="G76" s="17">
        <v>43500.0</v>
      </c>
    </row>
    <row r="77" ht="15.75" customHeight="1">
      <c r="B77" s="20" t="s">
        <v>19</v>
      </c>
      <c r="C77" s="2"/>
      <c r="D77" s="3"/>
      <c r="E77" s="21">
        <f t="shared" ref="E77:G77" si="4">SUM(E68:E76)</f>
        <v>829500</v>
      </c>
      <c r="F77" s="21">
        <f t="shared" si="4"/>
        <v>473000</v>
      </c>
      <c r="G77" s="22">
        <f t="shared" si="4"/>
        <v>356500</v>
      </c>
      <c r="H77" s="23" t="s">
        <v>20</v>
      </c>
    </row>
    <row r="78" ht="15.75" customHeight="1">
      <c r="B78" s="20" t="s">
        <v>218</v>
      </c>
      <c r="C78" s="2"/>
      <c r="D78" s="3"/>
      <c r="E78" s="21"/>
      <c r="F78" s="21">
        <f>SUM(F77)</f>
        <v>473000</v>
      </c>
      <c r="G78" s="21"/>
      <c r="H78" s="23"/>
    </row>
    <row r="79" ht="15.75" customHeight="1">
      <c r="B79" s="10"/>
      <c r="C79" s="10"/>
      <c r="D79" s="26"/>
    </row>
    <row r="80" ht="15.75" customHeight="1"/>
    <row r="81" ht="15.75" customHeight="1">
      <c r="B81" s="1" t="s">
        <v>0</v>
      </c>
      <c r="C81" s="2"/>
      <c r="D81" s="3"/>
      <c r="E81" s="28"/>
      <c r="F81" s="28"/>
      <c r="G81" s="28"/>
    </row>
    <row r="82" ht="15.75" customHeight="1">
      <c r="B82" s="6" t="s">
        <v>315</v>
      </c>
      <c r="C82" s="2"/>
      <c r="D82" s="3"/>
      <c r="E82" s="7"/>
      <c r="F82" s="7"/>
      <c r="G82" s="7"/>
    </row>
    <row r="83" ht="15.75" customHeight="1">
      <c r="B83" s="8" t="s">
        <v>126</v>
      </c>
      <c r="C83" s="2"/>
      <c r="D83" s="3"/>
      <c r="E83" s="9"/>
      <c r="F83" s="9"/>
      <c r="G83" s="9"/>
    </row>
    <row r="84" ht="15.75" customHeight="1">
      <c r="B84" s="47" t="s">
        <v>3</v>
      </c>
      <c r="C84" s="47" t="s">
        <v>4</v>
      </c>
      <c r="D84" s="47" t="s">
        <v>5</v>
      </c>
      <c r="E84" s="47" t="s">
        <v>6</v>
      </c>
      <c r="F84" s="47" t="s">
        <v>7</v>
      </c>
      <c r="G84" s="48" t="s">
        <v>8</v>
      </c>
    </row>
    <row r="85" ht="15.75" customHeight="1">
      <c r="B85" s="14" t="s">
        <v>129</v>
      </c>
      <c r="C85" s="15">
        <v>189.0</v>
      </c>
      <c r="D85" s="16" t="s">
        <v>340</v>
      </c>
      <c r="E85" s="17">
        <v>185500.0</v>
      </c>
      <c r="F85" s="17">
        <v>106000.0</v>
      </c>
      <c r="G85" s="17">
        <v>79500.0</v>
      </c>
    </row>
    <row r="86" ht="15.75" customHeight="1">
      <c r="B86" s="14" t="s">
        <v>129</v>
      </c>
      <c r="C86" s="15">
        <v>189.0</v>
      </c>
      <c r="D86" s="16" t="s">
        <v>340</v>
      </c>
      <c r="E86" s="17">
        <v>185500.0</v>
      </c>
      <c r="F86" s="17">
        <v>106000.0</v>
      </c>
      <c r="G86" s="17">
        <v>79500.0</v>
      </c>
    </row>
    <row r="87" ht="15.75" customHeight="1">
      <c r="B87" s="14" t="s">
        <v>341</v>
      </c>
      <c r="C87" s="15">
        <v>170.0</v>
      </c>
      <c r="D87" s="16" t="s">
        <v>327</v>
      </c>
      <c r="E87" s="30">
        <v>73500.0</v>
      </c>
      <c r="F87" s="17">
        <v>42000.0</v>
      </c>
      <c r="G87" s="30">
        <v>31500.0</v>
      </c>
    </row>
    <row r="88" ht="15.75" customHeight="1">
      <c r="B88" s="14" t="s">
        <v>131</v>
      </c>
      <c r="C88" s="15">
        <v>201.0</v>
      </c>
      <c r="D88" s="16" t="s">
        <v>342</v>
      </c>
      <c r="E88" s="30">
        <v>24000.0</v>
      </c>
      <c r="F88" s="17">
        <v>13500.0</v>
      </c>
      <c r="G88" s="30">
        <v>10500.0</v>
      </c>
    </row>
    <row r="89" ht="15.75" customHeight="1">
      <c r="B89" s="14" t="s">
        <v>132</v>
      </c>
      <c r="C89" s="15">
        <v>171.0</v>
      </c>
      <c r="D89" s="16" t="s">
        <v>343</v>
      </c>
      <c r="E89" s="30">
        <v>131250.0</v>
      </c>
      <c r="F89" s="17">
        <v>75000.0</v>
      </c>
      <c r="G89" s="30">
        <v>56250.0</v>
      </c>
    </row>
    <row r="90" ht="15.75" customHeight="1">
      <c r="B90" s="14" t="s">
        <v>344</v>
      </c>
      <c r="C90" s="15">
        <v>171.0</v>
      </c>
      <c r="D90" s="16" t="s">
        <v>343</v>
      </c>
      <c r="E90" s="30">
        <v>131250.0</v>
      </c>
      <c r="F90" s="17">
        <v>75000.0</v>
      </c>
      <c r="G90" s="30">
        <v>56250.0</v>
      </c>
    </row>
    <row r="91" ht="15.75" customHeight="1">
      <c r="B91" s="14" t="s">
        <v>344</v>
      </c>
      <c r="C91" s="15">
        <v>171.0</v>
      </c>
      <c r="D91" s="16" t="s">
        <v>343</v>
      </c>
      <c r="E91" s="30">
        <v>131250.0</v>
      </c>
      <c r="F91" s="17">
        <v>75000.0</v>
      </c>
      <c r="G91" s="30">
        <v>56250.0</v>
      </c>
    </row>
    <row r="92" ht="15.75" customHeight="1">
      <c r="B92" s="14" t="s">
        <v>344</v>
      </c>
      <c r="C92" s="15">
        <v>171.0</v>
      </c>
      <c r="D92" s="16" t="s">
        <v>343</v>
      </c>
      <c r="E92" s="30">
        <v>131250.0</v>
      </c>
      <c r="F92" s="17">
        <v>75000.0</v>
      </c>
      <c r="G92" s="30">
        <v>56250.0</v>
      </c>
    </row>
    <row r="93" ht="15.75" customHeight="1">
      <c r="B93" s="14" t="s">
        <v>140</v>
      </c>
      <c r="C93" s="15">
        <v>171.0</v>
      </c>
      <c r="D93" s="16" t="s">
        <v>343</v>
      </c>
      <c r="E93" s="30">
        <v>131250.0</v>
      </c>
      <c r="F93" s="17">
        <v>75000.0</v>
      </c>
      <c r="G93" s="30">
        <v>56250.0</v>
      </c>
    </row>
    <row r="94" ht="15.75" customHeight="1">
      <c r="B94" s="14" t="s">
        <v>140</v>
      </c>
      <c r="C94" s="15">
        <v>170.0</v>
      </c>
      <c r="D94" s="16" t="s">
        <v>327</v>
      </c>
      <c r="E94" s="30">
        <v>73500.0</v>
      </c>
      <c r="F94" s="17">
        <v>42000.0</v>
      </c>
      <c r="G94" s="30">
        <v>31500.0</v>
      </c>
    </row>
    <row r="95" ht="15.75" customHeight="1">
      <c r="B95" s="14" t="s">
        <v>147</v>
      </c>
      <c r="C95" s="15">
        <v>183.0</v>
      </c>
      <c r="D95" s="16" t="s">
        <v>330</v>
      </c>
      <c r="E95" s="17">
        <v>173250.0</v>
      </c>
      <c r="F95" s="17">
        <v>99000.0</v>
      </c>
      <c r="G95" s="17">
        <v>74250.0</v>
      </c>
    </row>
    <row r="96" ht="15.75" customHeight="1">
      <c r="B96" s="14" t="s">
        <v>147</v>
      </c>
      <c r="C96" s="15">
        <v>206.0</v>
      </c>
      <c r="D96" s="16" t="s">
        <v>345</v>
      </c>
      <c r="E96" s="17">
        <v>78750.0</v>
      </c>
      <c r="F96" s="17">
        <v>45000.0</v>
      </c>
      <c r="G96" s="17">
        <v>33750.0</v>
      </c>
    </row>
    <row r="97" ht="15.75" customHeight="1">
      <c r="B97" s="14" t="s">
        <v>148</v>
      </c>
      <c r="C97" s="15">
        <v>177.0</v>
      </c>
      <c r="D97" s="16" t="s">
        <v>319</v>
      </c>
      <c r="E97" s="30">
        <v>70000.0</v>
      </c>
      <c r="F97" s="17">
        <v>40000.0</v>
      </c>
      <c r="G97" s="30">
        <v>30000.0</v>
      </c>
    </row>
    <row r="98" ht="15.75" customHeight="1">
      <c r="B98" s="14" t="s">
        <v>151</v>
      </c>
      <c r="C98" s="15">
        <v>170.0</v>
      </c>
      <c r="D98" s="16" t="s">
        <v>327</v>
      </c>
      <c r="E98" s="30">
        <v>73500.0</v>
      </c>
      <c r="F98" s="17">
        <v>42000.0</v>
      </c>
      <c r="G98" s="30">
        <v>31500.0</v>
      </c>
    </row>
    <row r="99" ht="15.75" customHeight="1">
      <c r="B99" s="20" t="s">
        <v>216</v>
      </c>
      <c r="C99" s="2"/>
      <c r="D99" s="3"/>
      <c r="E99" s="21">
        <f t="shared" ref="E99:G99" si="5">SUM(E85:E98)</f>
        <v>1593750</v>
      </c>
      <c r="F99" s="21">
        <f t="shared" si="5"/>
        <v>910500</v>
      </c>
      <c r="G99" s="22">
        <f t="shared" si="5"/>
        <v>683250</v>
      </c>
      <c r="H99" s="23" t="s">
        <v>20</v>
      </c>
    </row>
    <row r="100" ht="15.75" customHeight="1">
      <c r="B100" s="20" t="s">
        <v>218</v>
      </c>
      <c r="C100" s="2"/>
      <c r="D100" s="3"/>
      <c r="E100" s="21"/>
      <c r="F100" s="21">
        <f>SUM(F99)</f>
        <v>910500</v>
      </c>
      <c r="G100" s="21"/>
    </row>
    <row r="101" ht="15.75" customHeight="1">
      <c r="B101" s="19"/>
      <c r="D101" s="27"/>
    </row>
    <row r="102" ht="15.75" customHeight="1">
      <c r="B102" s="19"/>
      <c r="D102" s="27"/>
    </row>
    <row r="103" ht="15.75" customHeight="1">
      <c r="B103" s="1" t="s">
        <v>0</v>
      </c>
      <c r="C103" s="2"/>
      <c r="D103" s="3"/>
      <c r="E103" s="28"/>
      <c r="F103" s="28"/>
      <c r="G103" s="28"/>
    </row>
    <row r="104" ht="15.75" customHeight="1">
      <c r="B104" s="6" t="s">
        <v>315</v>
      </c>
      <c r="C104" s="2"/>
      <c r="D104" s="3"/>
      <c r="E104" s="7"/>
      <c r="F104" s="7"/>
      <c r="G104" s="7"/>
    </row>
    <row r="105" ht="15.75" customHeight="1">
      <c r="B105" s="8" t="s">
        <v>157</v>
      </c>
      <c r="C105" s="2"/>
      <c r="D105" s="3"/>
      <c r="E105" s="9"/>
      <c r="F105" s="9"/>
      <c r="G105" s="9"/>
    </row>
    <row r="106" ht="15.75" customHeight="1">
      <c r="B106" s="47" t="s">
        <v>3</v>
      </c>
      <c r="C106" s="47" t="s">
        <v>4</v>
      </c>
      <c r="D106" s="47" t="s">
        <v>5</v>
      </c>
      <c r="E106" s="47" t="s">
        <v>6</v>
      </c>
      <c r="F106" s="47" t="s">
        <v>7</v>
      </c>
      <c r="G106" s="48" t="s">
        <v>8</v>
      </c>
    </row>
    <row r="107" ht="15.75" customHeight="1">
      <c r="B107" s="14" t="s">
        <v>234</v>
      </c>
      <c r="C107" s="15">
        <v>177.0</v>
      </c>
      <c r="D107" s="16" t="s">
        <v>319</v>
      </c>
      <c r="E107" s="17">
        <v>70000.0</v>
      </c>
      <c r="F107" s="17">
        <v>40000.0</v>
      </c>
      <c r="G107" s="17">
        <v>30000.0</v>
      </c>
    </row>
    <row r="108" ht="15.75" customHeight="1">
      <c r="B108" s="14" t="s">
        <v>346</v>
      </c>
      <c r="C108" s="15">
        <v>201.0</v>
      </c>
      <c r="D108" s="16" t="s">
        <v>347</v>
      </c>
      <c r="E108" s="17">
        <v>24000.0</v>
      </c>
      <c r="F108" s="17">
        <v>13500.0</v>
      </c>
      <c r="G108" s="17">
        <v>10500.0</v>
      </c>
    </row>
    <row r="109" ht="15.75" customHeight="1">
      <c r="B109" s="14" t="s">
        <v>346</v>
      </c>
      <c r="C109" s="15">
        <v>173.0</v>
      </c>
      <c r="D109" s="16" t="s">
        <v>335</v>
      </c>
      <c r="E109" s="30">
        <v>92750.0</v>
      </c>
      <c r="F109" s="17">
        <v>53000.0</v>
      </c>
      <c r="G109" s="30">
        <v>39750.0</v>
      </c>
    </row>
    <row r="110" ht="15.75" customHeight="1">
      <c r="B110" s="14" t="s">
        <v>348</v>
      </c>
      <c r="C110" s="15">
        <v>173.0</v>
      </c>
      <c r="D110" s="16" t="s">
        <v>335</v>
      </c>
      <c r="E110" s="30">
        <v>92750.0</v>
      </c>
      <c r="F110" s="17">
        <v>53000.0</v>
      </c>
      <c r="G110" s="30">
        <v>39750.0</v>
      </c>
    </row>
    <row r="111" ht="15.75" customHeight="1">
      <c r="B111" s="14" t="s">
        <v>163</v>
      </c>
      <c r="C111" s="15">
        <v>207.0</v>
      </c>
      <c r="D111" s="16" t="s">
        <v>328</v>
      </c>
      <c r="E111" s="30">
        <v>66500.0</v>
      </c>
      <c r="F111" s="17">
        <v>38000.0</v>
      </c>
      <c r="G111" s="30">
        <v>28500.0</v>
      </c>
    </row>
    <row r="112" ht="15.75" customHeight="1">
      <c r="B112" s="14" t="s">
        <v>349</v>
      </c>
      <c r="C112" s="15">
        <v>187.0</v>
      </c>
      <c r="D112" s="16" t="s">
        <v>318</v>
      </c>
      <c r="E112" s="30">
        <v>148750.0</v>
      </c>
      <c r="F112" s="17">
        <v>85000.0</v>
      </c>
      <c r="G112" s="30">
        <v>63750.0</v>
      </c>
    </row>
    <row r="113" ht="15.75" customHeight="1">
      <c r="B113" s="14" t="s">
        <v>349</v>
      </c>
      <c r="C113" s="15">
        <v>171.0</v>
      </c>
      <c r="D113" s="16" t="s">
        <v>332</v>
      </c>
      <c r="E113" s="17">
        <v>131250.0</v>
      </c>
      <c r="F113" s="17">
        <v>75000.0</v>
      </c>
      <c r="G113" s="17">
        <v>56250.0</v>
      </c>
    </row>
    <row r="114" ht="15.75" customHeight="1">
      <c r="B114" s="14" t="s">
        <v>311</v>
      </c>
      <c r="C114" s="15">
        <v>207.0</v>
      </c>
      <c r="D114" s="16" t="s">
        <v>328</v>
      </c>
      <c r="E114" s="30">
        <v>66500.0</v>
      </c>
      <c r="F114" s="17">
        <v>38000.0</v>
      </c>
      <c r="G114" s="30">
        <v>28500.0</v>
      </c>
    </row>
    <row r="115" ht="15.75" customHeight="1">
      <c r="B115" s="14" t="s">
        <v>171</v>
      </c>
      <c r="C115" s="15">
        <v>171.0</v>
      </c>
      <c r="D115" s="16" t="s">
        <v>332</v>
      </c>
      <c r="E115" s="17">
        <v>131250.0</v>
      </c>
      <c r="F115" s="17">
        <v>75000.0</v>
      </c>
      <c r="G115" s="17">
        <v>56250.0</v>
      </c>
    </row>
    <row r="116" ht="15.75" customHeight="1">
      <c r="B116" s="14" t="s">
        <v>172</v>
      </c>
      <c r="C116" s="15">
        <v>206.0</v>
      </c>
      <c r="D116" s="16" t="s">
        <v>350</v>
      </c>
      <c r="E116" s="17">
        <v>78750.0</v>
      </c>
      <c r="F116" s="17">
        <v>45000.0</v>
      </c>
      <c r="G116" s="17">
        <v>33750.0</v>
      </c>
    </row>
    <row r="117" ht="15.75" customHeight="1">
      <c r="B117" s="20" t="s">
        <v>216</v>
      </c>
      <c r="C117" s="2"/>
      <c r="D117" s="3"/>
      <c r="E117" s="21">
        <f t="shared" ref="E117:G117" si="6">SUM(E107:E116)</f>
        <v>902500</v>
      </c>
      <c r="F117" s="21">
        <f t="shared" si="6"/>
        <v>515500</v>
      </c>
      <c r="G117" s="22">
        <f t="shared" si="6"/>
        <v>387000</v>
      </c>
      <c r="H117" s="23" t="s">
        <v>20</v>
      </c>
    </row>
    <row r="118" ht="15.75" customHeight="1">
      <c r="B118" s="20" t="s">
        <v>218</v>
      </c>
      <c r="C118" s="2"/>
      <c r="D118" s="3"/>
      <c r="E118" s="21"/>
      <c r="F118" s="21">
        <f>SUM(F117)</f>
        <v>515500</v>
      </c>
      <c r="G118" s="21"/>
    </row>
    <row r="119" ht="15.75" customHeight="1">
      <c r="B119" s="10"/>
      <c r="C119" s="10"/>
      <c r="D119" s="10"/>
    </row>
    <row r="120" ht="15.75" customHeight="1">
      <c r="B120" s="13"/>
      <c r="C120" s="13"/>
      <c r="D120" s="13"/>
    </row>
    <row r="121" ht="15.75" customHeight="1">
      <c r="B121" s="19"/>
      <c r="D121" s="27"/>
    </row>
    <row r="122" ht="15.75" customHeight="1">
      <c r="B122" s="19"/>
      <c r="D122" s="27"/>
    </row>
    <row r="123" ht="15.75" customHeight="1">
      <c r="B123" s="19"/>
      <c r="D123" s="27"/>
    </row>
    <row r="124" ht="15.75" customHeight="1">
      <c r="B124" s="19"/>
      <c r="D124" s="27"/>
    </row>
    <row r="125" ht="15.75" customHeight="1">
      <c r="B125" s="19"/>
      <c r="D125" s="27"/>
    </row>
    <row r="126" ht="15.75" customHeight="1">
      <c r="B126" s="10"/>
      <c r="C126" s="10"/>
      <c r="D126" s="26"/>
    </row>
    <row r="127" ht="15.75" customHeight="1">
      <c r="B127" s="19"/>
      <c r="D127" s="27"/>
    </row>
    <row r="128" ht="15.75" customHeight="1">
      <c r="B128" s="19"/>
      <c r="D128" s="27"/>
    </row>
    <row r="129" ht="15.75" customHeight="1">
      <c r="B129" s="5"/>
      <c r="C129" s="5"/>
      <c r="D129" s="5"/>
    </row>
    <row r="130" ht="15.75" customHeight="1">
      <c r="B130" s="5"/>
      <c r="C130" s="5"/>
      <c r="D130" s="5"/>
    </row>
    <row r="131" ht="15.75" customHeight="1">
      <c r="B131" s="10"/>
      <c r="C131" s="10"/>
      <c r="D131" s="10"/>
    </row>
    <row r="132" ht="15.75" customHeight="1">
      <c r="B132" s="13"/>
      <c r="C132" s="13"/>
      <c r="D132" s="13"/>
    </row>
    <row r="133" ht="15.75" customHeight="1">
      <c r="B133" s="19"/>
      <c r="D133" s="27"/>
    </row>
    <row r="134" ht="15.75" customHeight="1">
      <c r="B134" s="19"/>
      <c r="D134" s="27"/>
    </row>
    <row r="135" ht="15.75" customHeight="1">
      <c r="B135" s="19"/>
      <c r="D135" s="27"/>
    </row>
    <row r="136" ht="15.75" customHeight="1">
      <c r="B136" s="19"/>
      <c r="D136" s="27"/>
    </row>
    <row r="137" ht="15.75" customHeight="1">
      <c r="B137" s="19"/>
      <c r="D137" s="27"/>
    </row>
    <row r="138" ht="15.75" customHeight="1">
      <c r="B138" s="19"/>
      <c r="D138" s="27"/>
    </row>
    <row r="139" ht="15.75" customHeight="1">
      <c r="B139" s="19"/>
      <c r="D139" s="27"/>
    </row>
    <row r="140" ht="15.75" customHeight="1">
      <c r="B140" s="19"/>
      <c r="D140" s="27"/>
    </row>
    <row r="141" ht="15.75" customHeight="1">
      <c r="B141" s="19"/>
      <c r="D141" s="27"/>
    </row>
    <row r="142" ht="15.75" customHeight="1">
      <c r="B142" s="19"/>
      <c r="D142" s="27"/>
    </row>
    <row r="143" ht="15.75" customHeight="1">
      <c r="B143" s="19"/>
      <c r="D143" s="27"/>
    </row>
    <row r="144" ht="15.75" customHeight="1">
      <c r="B144" s="19"/>
      <c r="D144" s="27"/>
    </row>
    <row r="145" ht="15.75" customHeight="1">
      <c r="B145" s="19"/>
      <c r="D145" s="27"/>
    </row>
    <row r="146" ht="15.75" customHeight="1">
      <c r="B146" s="19"/>
      <c r="D146" s="27"/>
    </row>
    <row r="147" ht="15.75" customHeight="1">
      <c r="B147" s="10"/>
      <c r="C147" s="10"/>
      <c r="D147" s="26"/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8">
    <mergeCell ref="B2:D2"/>
    <mergeCell ref="E2:E4"/>
    <mergeCell ref="F2:F4"/>
    <mergeCell ref="G2:G4"/>
    <mergeCell ref="B3:D3"/>
    <mergeCell ref="B4:D4"/>
    <mergeCell ref="B8:D8"/>
    <mergeCell ref="B9:D9"/>
    <mergeCell ref="B12:D12"/>
    <mergeCell ref="E12:E14"/>
    <mergeCell ref="F12:F14"/>
    <mergeCell ref="G12:G14"/>
    <mergeCell ref="B13:D13"/>
    <mergeCell ref="B14:D14"/>
    <mergeCell ref="B36:D36"/>
    <mergeCell ref="B37:D37"/>
    <mergeCell ref="B40:D40"/>
    <mergeCell ref="E40:E42"/>
    <mergeCell ref="F40:F42"/>
    <mergeCell ref="G40:G42"/>
    <mergeCell ref="B41:D41"/>
    <mergeCell ref="B42:D42"/>
    <mergeCell ref="B60:D60"/>
    <mergeCell ref="B61:D61"/>
    <mergeCell ref="B64:D64"/>
    <mergeCell ref="E64:E66"/>
    <mergeCell ref="F64:F66"/>
    <mergeCell ref="G64:G66"/>
    <mergeCell ref="B65:D65"/>
    <mergeCell ref="B66:D66"/>
    <mergeCell ref="B77:D77"/>
    <mergeCell ref="B78:D78"/>
    <mergeCell ref="E81:E83"/>
    <mergeCell ref="F81:F83"/>
    <mergeCell ref="G81:G83"/>
    <mergeCell ref="B83:D83"/>
    <mergeCell ref="B103:D103"/>
    <mergeCell ref="B104:D104"/>
    <mergeCell ref="B117:D117"/>
    <mergeCell ref="B118:D118"/>
    <mergeCell ref="B81:D81"/>
    <mergeCell ref="B82:D82"/>
    <mergeCell ref="B99:D99"/>
    <mergeCell ref="B100:D100"/>
    <mergeCell ref="E103:E105"/>
    <mergeCell ref="F103:F105"/>
    <mergeCell ref="G103:G105"/>
    <mergeCell ref="B105:D10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4.57"/>
    <col customWidth="1" min="3" max="3" width="5.71"/>
    <col customWidth="1" min="4" max="4" width="22.29"/>
    <col customWidth="1" min="5" max="5" width="13.86"/>
    <col customWidth="1" min="6" max="6" width="20.14"/>
    <col customWidth="1" min="7" max="7" width="22.71"/>
    <col customWidth="1" min="8" max="8" width="20.43"/>
    <col customWidth="1" min="9" max="10" width="10.71"/>
    <col customWidth="1" min="11" max="11" width="17.71"/>
    <col customWidth="1" min="12" max="12" width="16.57"/>
    <col customWidth="1" min="13" max="26" width="10.71"/>
  </cols>
  <sheetData>
    <row r="2">
      <c r="B2" s="1" t="s">
        <v>0</v>
      </c>
      <c r="C2" s="2"/>
      <c r="D2" s="3"/>
      <c r="E2" s="4"/>
      <c r="F2" s="4"/>
      <c r="G2" s="4"/>
      <c r="H2" s="5"/>
      <c r="J2" s="5"/>
      <c r="K2" s="5"/>
      <c r="L2" s="5"/>
    </row>
    <row r="3">
      <c r="B3" s="6" t="s">
        <v>351</v>
      </c>
      <c r="C3" s="2"/>
      <c r="D3" s="3"/>
      <c r="E3" s="7"/>
      <c r="F3" s="7"/>
      <c r="G3" s="7"/>
      <c r="H3" s="5"/>
      <c r="J3" s="5"/>
      <c r="K3" s="5"/>
      <c r="L3" s="5"/>
    </row>
    <row r="4">
      <c r="B4" s="8" t="s">
        <v>2</v>
      </c>
      <c r="C4" s="2"/>
      <c r="D4" s="3"/>
      <c r="E4" s="9"/>
      <c r="F4" s="9"/>
      <c r="G4" s="9"/>
      <c r="H4" s="10"/>
      <c r="J4" s="10"/>
      <c r="K4" s="10"/>
      <c r="L4" s="10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  <c r="H5" s="13"/>
      <c r="J5" s="13"/>
      <c r="K5" s="13"/>
      <c r="L5" s="13"/>
    </row>
    <row r="6">
      <c r="B6" s="14" t="s">
        <v>352</v>
      </c>
      <c r="C6" s="15">
        <v>625.0</v>
      </c>
      <c r="D6" s="16" t="s">
        <v>353</v>
      </c>
      <c r="E6" s="17">
        <v>60000.0</v>
      </c>
      <c r="F6" s="17">
        <v>30000.0</v>
      </c>
      <c r="G6" s="17">
        <v>30000.0</v>
      </c>
      <c r="H6" s="18"/>
      <c r="J6" s="19"/>
      <c r="L6" s="18"/>
    </row>
    <row r="7">
      <c r="B7" s="20" t="s">
        <v>19</v>
      </c>
      <c r="C7" s="2"/>
      <c r="D7" s="3"/>
      <c r="E7" s="21">
        <f>SUM(E6)</f>
        <v>60000</v>
      </c>
      <c r="F7" s="21">
        <f>SUM(F5:F6)</f>
        <v>30000</v>
      </c>
      <c r="G7" s="22">
        <f>SUM(G6)</f>
        <v>30000</v>
      </c>
      <c r="H7" s="23" t="s">
        <v>20</v>
      </c>
      <c r="J7" s="19"/>
      <c r="L7" s="18"/>
    </row>
    <row r="8">
      <c r="B8" s="20" t="s">
        <v>218</v>
      </c>
      <c r="C8" s="2"/>
      <c r="D8" s="3"/>
      <c r="E8" s="21"/>
      <c r="F8" s="21">
        <f>SUM(F7)</f>
        <v>30000</v>
      </c>
      <c r="G8" s="21"/>
      <c r="H8" s="23"/>
      <c r="J8" s="19"/>
      <c r="L8" s="18"/>
    </row>
    <row r="9">
      <c r="B9" s="5"/>
      <c r="C9" s="5"/>
      <c r="D9" s="26"/>
      <c r="H9" s="18"/>
      <c r="J9" s="19"/>
      <c r="L9" s="18"/>
    </row>
    <row r="10">
      <c r="B10" s="67"/>
      <c r="C10" s="67"/>
      <c r="D10" s="75"/>
      <c r="G10" s="19"/>
      <c r="H10" s="18"/>
      <c r="J10" s="19"/>
      <c r="L10" s="18"/>
    </row>
    <row r="11">
      <c r="B11" s="1" t="s">
        <v>0</v>
      </c>
      <c r="C11" s="2"/>
      <c r="D11" s="3"/>
      <c r="E11" s="4"/>
      <c r="F11" s="4"/>
      <c r="G11" s="4"/>
      <c r="H11" s="31"/>
      <c r="J11" s="19"/>
      <c r="L11" s="18"/>
    </row>
    <row r="12">
      <c r="B12" s="6" t="s">
        <v>351</v>
      </c>
      <c r="C12" s="2"/>
      <c r="D12" s="3"/>
      <c r="E12" s="7"/>
      <c r="F12" s="7"/>
      <c r="G12" s="7"/>
      <c r="H12" s="18"/>
      <c r="J12" s="19"/>
      <c r="L12" s="18"/>
    </row>
    <row r="13">
      <c r="B13" s="8" t="s">
        <v>22</v>
      </c>
      <c r="C13" s="2"/>
      <c r="D13" s="3"/>
      <c r="E13" s="9"/>
      <c r="F13" s="9"/>
      <c r="G13" s="9"/>
      <c r="H13" s="31"/>
      <c r="J13" s="10"/>
      <c r="K13" s="10"/>
      <c r="L13" s="31"/>
    </row>
    <row r="14">
      <c r="B14" s="11" t="s">
        <v>3</v>
      </c>
      <c r="C14" s="11" t="s">
        <v>4</v>
      </c>
      <c r="D14" s="11" t="s">
        <v>5</v>
      </c>
      <c r="E14" s="11" t="s">
        <v>6</v>
      </c>
      <c r="F14" s="11" t="s">
        <v>7</v>
      </c>
      <c r="G14" s="12" t="s">
        <v>8</v>
      </c>
      <c r="H14" s="18"/>
    </row>
    <row r="15">
      <c r="B15" s="14" t="s">
        <v>25</v>
      </c>
      <c r="C15" s="15">
        <v>624.0</v>
      </c>
      <c r="D15" s="16" t="s">
        <v>354</v>
      </c>
      <c r="E15" s="17">
        <v>60000.0</v>
      </c>
      <c r="F15" s="17">
        <v>30000.0</v>
      </c>
      <c r="G15" s="17">
        <v>30000.0</v>
      </c>
      <c r="H15" s="18"/>
    </row>
    <row r="16">
      <c r="B16" s="14" t="s">
        <v>25</v>
      </c>
      <c r="C16" s="15">
        <v>624.0</v>
      </c>
      <c r="D16" s="16" t="s">
        <v>354</v>
      </c>
      <c r="E16" s="17">
        <v>60000.0</v>
      </c>
      <c r="F16" s="17">
        <v>30000.0</v>
      </c>
      <c r="G16" s="17">
        <v>30000.0</v>
      </c>
      <c r="H16" s="5"/>
    </row>
    <row r="17">
      <c r="B17" s="14" t="s">
        <v>29</v>
      </c>
      <c r="C17" s="15">
        <v>624.0</v>
      </c>
      <c r="D17" s="16" t="s">
        <v>354</v>
      </c>
      <c r="E17" s="17">
        <v>54000.0</v>
      </c>
      <c r="F17" s="17">
        <v>30000.0</v>
      </c>
      <c r="G17" s="17">
        <v>24000.0</v>
      </c>
      <c r="H17" s="5"/>
    </row>
    <row r="18">
      <c r="B18" s="14" t="s">
        <v>322</v>
      </c>
      <c r="C18" s="15">
        <v>625.0</v>
      </c>
      <c r="D18" s="16" t="s">
        <v>353</v>
      </c>
      <c r="E18" s="17">
        <v>60000.0</v>
      </c>
      <c r="F18" s="17">
        <v>30000.0</v>
      </c>
      <c r="G18" s="17">
        <v>30000.0</v>
      </c>
      <c r="H18" s="10"/>
    </row>
    <row r="19">
      <c r="B19" s="14" t="s">
        <v>50</v>
      </c>
      <c r="C19" s="15">
        <v>624.0</v>
      </c>
      <c r="D19" s="16" t="s">
        <v>354</v>
      </c>
      <c r="E19" s="17">
        <v>60000.0</v>
      </c>
      <c r="F19" s="17">
        <v>30000.0</v>
      </c>
      <c r="G19" s="17">
        <v>30000.0</v>
      </c>
      <c r="H19" s="13"/>
    </row>
    <row r="20">
      <c r="B20" s="14" t="s">
        <v>56</v>
      </c>
      <c r="C20" s="15">
        <v>625.0</v>
      </c>
      <c r="D20" s="16" t="s">
        <v>353</v>
      </c>
      <c r="E20" s="17">
        <v>60000.0</v>
      </c>
      <c r="F20" s="17">
        <v>30000.0</v>
      </c>
      <c r="G20" s="17">
        <v>30000.0</v>
      </c>
      <c r="H20" s="18"/>
    </row>
    <row r="21">
      <c r="B21" s="14" t="s">
        <v>56</v>
      </c>
      <c r="C21" s="15">
        <v>625.0</v>
      </c>
      <c r="D21" s="16" t="s">
        <v>353</v>
      </c>
      <c r="E21" s="17">
        <v>60000.0</v>
      </c>
      <c r="F21" s="17">
        <v>30000.0</v>
      </c>
      <c r="G21" s="17">
        <v>30000.0</v>
      </c>
      <c r="H21" s="31"/>
    </row>
    <row r="22" ht="15.75" customHeight="1">
      <c r="B22" s="20" t="s">
        <v>216</v>
      </c>
      <c r="C22" s="2"/>
      <c r="D22" s="3"/>
      <c r="E22" s="21">
        <f t="shared" ref="E22:G22" si="1">SUM(E15:E21)</f>
        <v>414000</v>
      </c>
      <c r="F22" s="21">
        <f t="shared" si="1"/>
        <v>210000</v>
      </c>
      <c r="G22" s="22">
        <f t="shared" si="1"/>
        <v>204000</v>
      </c>
      <c r="H22" s="23" t="s">
        <v>20</v>
      </c>
    </row>
    <row r="23" ht="15.75" customHeight="1">
      <c r="B23" s="20" t="s">
        <v>218</v>
      </c>
      <c r="C23" s="2"/>
      <c r="D23" s="3"/>
      <c r="E23" s="21"/>
      <c r="F23" s="21">
        <f>SUM(F22)</f>
        <v>210000</v>
      </c>
      <c r="G23" s="21"/>
      <c r="H23" s="5"/>
    </row>
    <row r="24" ht="15.75" customHeight="1">
      <c r="B24" s="19"/>
      <c r="D24" s="27"/>
      <c r="G24" s="5"/>
      <c r="H24" s="5"/>
    </row>
    <row r="25" ht="15.75" customHeight="1">
      <c r="B25" s="5"/>
      <c r="C25" s="5"/>
      <c r="D25" s="26"/>
      <c r="G25" s="5"/>
      <c r="H25" s="5"/>
    </row>
    <row r="26" ht="15.75" customHeight="1">
      <c r="B26" s="1" t="s">
        <v>0</v>
      </c>
      <c r="C26" s="2"/>
      <c r="D26" s="3"/>
      <c r="E26" s="4"/>
      <c r="F26" s="4"/>
      <c r="G26" s="4"/>
      <c r="H26" s="10"/>
    </row>
    <row r="27" ht="15.75" customHeight="1">
      <c r="B27" s="6" t="s">
        <v>351</v>
      </c>
      <c r="C27" s="2"/>
      <c r="D27" s="3"/>
      <c r="E27" s="7"/>
      <c r="F27" s="7"/>
      <c r="G27" s="7"/>
      <c r="H27" s="13"/>
    </row>
    <row r="28" ht="15.75" customHeight="1">
      <c r="B28" s="8" t="s">
        <v>64</v>
      </c>
      <c r="C28" s="2"/>
      <c r="D28" s="3"/>
      <c r="E28" s="9"/>
      <c r="F28" s="9"/>
      <c r="G28" s="9"/>
      <c r="H28" s="18"/>
    </row>
    <row r="29" ht="15.75" customHeight="1">
      <c r="B29" s="11" t="s">
        <v>3</v>
      </c>
      <c r="C29" s="11" t="s">
        <v>4</v>
      </c>
      <c r="D29" s="11" t="s">
        <v>5</v>
      </c>
      <c r="E29" s="11" t="s">
        <v>6</v>
      </c>
      <c r="F29" s="11" t="s">
        <v>7</v>
      </c>
      <c r="G29" s="12" t="s">
        <v>8</v>
      </c>
      <c r="H29" s="18"/>
    </row>
    <row r="30" ht="15.75" customHeight="1">
      <c r="B30" s="14" t="s">
        <v>78</v>
      </c>
      <c r="C30" s="15">
        <v>620.0</v>
      </c>
      <c r="D30" s="16" t="s">
        <v>355</v>
      </c>
      <c r="E30" s="17">
        <v>70000.0</v>
      </c>
      <c r="F30" s="17">
        <v>35000.0</v>
      </c>
      <c r="G30" s="17">
        <v>35000.0</v>
      </c>
      <c r="H30" s="18"/>
    </row>
    <row r="31" ht="15.75" customHeight="1">
      <c r="B31" s="14" t="s">
        <v>90</v>
      </c>
      <c r="C31" s="15">
        <v>621.0</v>
      </c>
      <c r="D31" s="16" t="s">
        <v>354</v>
      </c>
      <c r="E31" s="17">
        <v>70000.0</v>
      </c>
      <c r="F31" s="17">
        <v>35000.0</v>
      </c>
      <c r="G31" s="17">
        <v>35000.0</v>
      </c>
      <c r="H31" s="18"/>
    </row>
    <row r="32" ht="15.75" customHeight="1">
      <c r="B32" s="14" t="s">
        <v>91</v>
      </c>
      <c r="C32" s="15">
        <v>625.0</v>
      </c>
      <c r="D32" s="16" t="s">
        <v>353</v>
      </c>
      <c r="E32" s="17">
        <v>70000.0</v>
      </c>
      <c r="F32" s="17">
        <v>35000.0</v>
      </c>
      <c r="G32" s="17">
        <v>35000.0</v>
      </c>
      <c r="H32" s="31"/>
    </row>
    <row r="33" ht="15.75" customHeight="1">
      <c r="B33" s="20" t="s">
        <v>216</v>
      </c>
      <c r="C33" s="2"/>
      <c r="D33" s="3"/>
      <c r="E33" s="21">
        <f t="shared" ref="E33:G33" si="2">SUM(E30:E32)</f>
        <v>210000</v>
      </c>
      <c r="F33" s="21">
        <f t="shared" si="2"/>
        <v>105000</v>
      </c>
      <c r="G33" s="22">
        <f t="shared" si="2"/>
        <v>105000</v>
      </c>
      <c r="H33" s="23" t="s">
        <v>20</v>
      </c>
    </row>
    <row r="34" ht="15.75" customHeight="1">
      <c r="B34" s="20" t="s">
        <v>218</v>
      </c>
      <c r="C34" s="2"/>
      <c r="D34" s="3"/>
      <c r="E34" s="21"/>
      <c r="F34" s="21">
        <f>SUM(F33)</f>
        <v>105000</v>
      </c>
      <c r="G34" s="21"/>
      <c r="H34" s="5"/>
    </row>
    <row r="35" ht="15.75" customHeight="1">
      <c r="B35" s="19"/>
      <c r="D35" s="27"/>
      <c r="G35" s="5"/>
      <c r="H35" s="5"/>
    </row>
    <row r="36" ht="15.75" customHeight="1">
      <c r="B36" s="19"/>
      <c r="D36" s="27"/>
      <c r="G36" s="5"/>
      <c r="H36" s="5"/>
    </row>
    <row r="37" ht="15.75" customHeight="1">
      <c r="B37" s="1" t="s">
        <v>0</v>
      </c>
      <c r="C37" s="2"/>
      <c r="D37" s="3"/>
      <c r="E37" s="28"/>
      <c r="F37" s="28"/>
      <c r="G37" s="28"/>
      <c r="H37" s="10"/>
    </row>
    <row r="38" ht="15.75" customHeight="1">
      <c r="B38" s="6" t="s">
        <v>351</v>
      </c>
      <c r="C38" s="2"/>
      <c r="D38" s="3"/>
      <c r="E38" s="7"/>
      <c r="F38" s="7"/>
      <c r="G38" s="7"/>
      <c r="H38" s="13"/>
    </row>
    <row r="39" ht="15.75" customHeight="1">
      <c r="B39" s="8" t="s">
        <v>101</v>
      </c>
      <c r="C39" s="2"/>
      <c r="D39" s="3"/>
      <c r="E39" s="9"/>
      <c r="F39" s="9"/>
      <c r="G39" s="9"/>
      <c r="H39" s="18"/>
    </row>
    <row r="40" ht="15.75" customHeight="1">
      <c r="B40" s="47" t="s">
        <v>3</v>
      </c>
      <c r="C40" s="47" t="s">
        <v>4</v>
      </c>
      <c r="D40" s="47" t="s">
        <v>5</v>
      </c>
      <c r="E40" s="47" t="s">
        <v>6</v>
      </c>
      <c r="F40" s="47" t="s">
        <v>7</v>
      </c>
      <c r="G40" s="48" t="s">
        <v>8</v>
      </c>
      <c r="H40" s="18"/>
    </row>
    <row r="41" ht="15.75" customHeight="1">
      <c r="B41" s="14" t="s">
        <v>336</v>
      </c>
      <c r="C41" s="15">
        <v>625.0</v>
      </c>
      <c r="D41" s="16" t="s">
        <v>356</v>
      </c>
      <c r="E41" s="17">
        <v>70000.0</v>
      </c>
      <c r="F41" s="17">
        <v>35000.0</v>
      </c>
      <c r="G41" s="17">
        <v>35000.0</v>
      </c>
      <c r="H41" s="18"/>
    </row>
    <row r="42" ht="15.75" customHeight="1">
      <c r="B42" s="20" t="s">
        <v>216</v>
      </c>
      <c r="C42" s="2"/>
      <c r="D42" s="3"/>
      <c r="E42" s="21">
        <f t="shared" ref="E42:G42" si="3">SUM(E39:E41)</f>
        <v>70000</v>
      </c>
      <c r="F42" s="21">
        <f t="shared" si="3"/>
        <v>35000</v>
      </c>
      <c r="G42" s="22">
        <f t="shared" si="3"/>
        <v>35000</v>
      </c>
      <c r="H42" s="23" t="s">
        <v>20</v>
      </c>
    </row>
    <row r="43" ht="15.75" customHeight="1">
      <c r="B43" s="20" t="s">
        <v>218</v>
      </c>
      <c r="C43" s="2"/>
      <c r="D43" s="3"/>
      <c r="E43" s="21"/>
      <c r="F43" s="21">
        <f>SUM(F42)</f>
        <v>35000</v>
      </c>
      <c r="G43" s="21"/>
      <c r="H43" s="18"/>
    </row>
    <row r="44" ht="15.75" customHeight="1">
      <c r="B44" s="13"/>
      <c r="C44" s="13"/>
      <c r="D44" s="13"/>
      <c r="G44" s="19"/>
      <c r="H44" s="18"/>
    </row>
    <row r="45" ht="15.75" customHeight="1">
      <c r="B45" s="19"/>
      <c r="D45" s="27"/>
      <c r="G45" s="19"/>
      <c r="H45" s="18"/>
    </row>
    <row r="46" ht="15.75" customHeight="1">
      <c r="B46" s="1" t="s">
        <v>0</v>
      </c>
      <c r="C46" s="2"/>
      <c r="D46" s="3"/>
      <c r="E46" s="28"/>
      <c r="F46" s="28"/>
      <c r="G46" s="28"/>
      <c r="H46" s="29"/>
    </row>
    <row r="47" ht="15.75" customHeight="1">
      <c r="B47" s="6" t="s">
        <v>351</v>
      </c>
      <c r="C47" s="2"/>
      <c r="D47" s="3"/>
      <c r="E47" s="7"/>
      <c r="F47" s="7"/>
      <c r="G47" s="7"/>
      <c r="H47" s="41"/>
    </row>
    <row r="48" ht="15.75" customHeight="1">
      <c r="B48" s="8" t="s">
        <v>126</v>
      </c>
      <c r="C48" s="2"/>
      <c r="D48" s="3"/>
      <c r="E48" s="9"/>
      <c r="F48" s="9"/>
      <c r="G48" s="9"/>
      <c r="H48" s="31"/>
    </row>
    <row r="49" ht="15.75" customHeight="1">
      <c r="B49" s="47" t="s">
        <v>3</v>
      </c>
      <c r="C49" s="47" t="s">
        <v>4</v>
      </c>
      <c r="D49" s="47" t="s">
        <v>5</v>
      </c>
      <c r="E49" s="47" t="s">
        <v>6</v>
      </c>
      <c r="F49" s="47" t="s">
        <v>7</v>
      </c>
      <c r="G49" s="48" t="s">
        <v>8</v>
      </c>
    </row>
    <row r="50" ht="15.75" customHeight="1">
      <c r="B50" s="14" t="s">
        <v>127</v>
      </c>
      <c r="C50" s="15">
        <v>625.0</v>
      </c>
      <c r="D50" s="16" t="s">
        <v>356</v>
      </c>
      <c r="E50" s="17">
        <v>70000.0</v>
      </c>
      <c r="F50" s="17">
        <v>35000.0</v>
      </c>
      <c r="G50" s="17">
        <v>35000.0</v>
      </c>
    </row>
    <row r="51" ht="15.75" customHeight="1">
      <c r="B51" s="14" t="s">
        <v>142</v>
      </c>
      <c r="C51" s="15">
        <v>625.0</v>
      </c>
      <c r="D51" s="16" t="s">
        <v>356</v>
      </c>
      <c r="E51" s="17">
        <v>70000.0</v>
      </c>
      <c r="F51" s="17">
        <v>35000.0</v>
      </c>
      <c r="G51" s="17">
        <v>35000.0</v>
      </c>
    </row>
    <row r="52" ht="15.75" customHeight="1">
      <c r="B52" s="14" t="s">
        <v>147</v>
      </c>
      <c r="C52" s="15">
        <v>625.0</v>
      </c>
      <c r="D52" s="16" t="s">
        <v>356</v>
      </c>
      <c r="E52" s="17">
        <v>70000.0</v>
      </c>
      <c r="F52" s="17">
        <v>35000.0</v>
      </c>
      <c r="G52" s="17">
        <v>35000.0</v>
      </c>
    </row>
    <row r="53" ht="15.75" customHeight="1">
      <c r="B53" s="14" t="s">
        <v>210</v>
      </c>
      <c r="C53" s="15">
        <v>621.0</v>
      </c>
      <c r="D53" s="16" t="s">
        <v>354</v>
      </c>
      <c r="E53" s="17">
        <v>70000.0</v>
      </c>
      <c r="F53" s="17">
        <v>35000.0</v>
      </c>
      <c r="G53" s="17">
        <v>35000.0</v>
      </c>
    </row>
    <row r="54" ht="15.75" customHeight="1">
      <c r="B54" s="14" t="s">
        <v>153</v>
      </c>
      <c r="C54" s="15">
        <v>621.0</v>
      </c>
      <c r="D54" s="16" t="s">
        <v>354</v>
      </c>
      <c r="E54" s="17">
        <v>70000.0</v>
      </c>
      <c r="F54" s="17">
        <v>35000.0</v>
      </c>
      <c r="G54" s="17">
        <v>35000.0</v>
      </c>
    </row>
    <row r="55" ht="15.75" customHeight="1">
      <c r="B55" s="14" t="s">
        <v>153</v>
      </c>
      <c r="C55" s="15">
        <v>625.0</v>
      </c>
      <c r="D55" s="16" t="s">
        <v>356</v>
      </c>
      <c r="E55" s="17">
        <v>70000.0</v>
      </c>
      <c r="F55" s="17">
        <v>35000.0</v>
      </c>
      <c r="G55" s="17">
        <v>35000.0</v>
      </c>
      <c r="K55" s="5"/>
      <c r="L55" s="5"/>
      <c r="M55" s="5"/>
    </row>
    <row r="56" ht="15.75" customHeight="1">
      <c r="B56" s="20" t="s">
        <v>216</v>
      </c>
      <c r="C56" s="2"/>
      <c r="D56" s="3"/>
      <c r="E56" s="21">
        <f t="shared" ref="E56:G56" si="4">SUM(E50:E55)</f>
        <v>420000</v>
      </c>
      <c r="F56" s="21">
        <f t="shared" si="4"/>
        <v>210000</v>
      </c>
      <c r="G56" s="22">
        <f t="shared" si="4"/>
        <v>210000</v>
      </c>
      <c r="H56" s="23" t="s">
        <v>20</v>
      </c>
      <c r="K56" s="5"/>
      <c r="L56" s="5"/>
      <c r="M56" s="5"/>
    </row>
    <row r="57" ht="15.75" customHeight="1">
      <c r="B57" s="20" t="s">
        <v>218</v>
      </c>
      <c r="C57" s="2"/>
      <c r="D57" s="3"/>
      <c r="E57" s="21"/>
      <c r="F57" s="21">
        <f>SUM(F56)</f>
        <v>210000</v>
      </c>
      <c r="G57" s="21"/>
      <c r="K57" s="10"/>
      <c r="L57" s="10"/>
      <c r="M57" s="10"/>
    </row>
    <row r="58" ht="15.75" customHeight="1">
      <c r="B58" s="5"/>
      <c r="C58" s="5"/>
      <c r="D58" s="5"/>
      <c r="K58" s="13"/>
      <c r="L58" s="13"/>
      <c r="M58" s="13"/>
    </row>
    <row r="59" ht="15.75" customHeight="1">
      <c r="B59" s="5"/>
      <c r="C59" s="5"/>
      <c r="D59" s="5"/>
      <c r="K59" s="19"/>
      <c r="M59" s="18"/>
    </row>
    <row r="60" ht="15.75" customHeight="1">
      <c r="B60" s="1" t="s">
        <v>0</v>
      </c>
      <c r="C60" s="2"/>
      <c r="D60" s="3"/>
      <c r="E60" s="28"/>
      <c r="F60" s="28"/>
      <c r="G60" s="28"/>
      <c r="K60" s="19"/>
      <c r="M60" s="18"/>
    </row>
    <row r="61" ht="15.75" customHeight="1">
      <c r="B61" s="6" t="s">
        <v>351</v>
      </c>
      <c r="C61" s="2"/>
      <c r="D61" s="3"/>
      <c r="E61" s="7"/>
      <c r="F61" s="7"/>
      <c r="G61" s="7"/>
      <c r="K61" s="19"/>
      <c r="M61" s="18"/>
    </row>
    <row r="62" ht="15.75" customHeight="1">
      <c r="B62" s="8" t="s">
        <v>157</v>
      </c>
      <c r="C62" s="2"/>
      <c r="D62" s="3"/>
      <c r="E62" s="9"/>
      <c r="F62" s="9"/>
      <c r="G62" s="9"/>
      <c r="K62" s="19"/>
      <c r="M62" s="18"/>
    </row>
    <row r="63" ht="15.75" customHeight="1">
      <c r="B63" s="47" t="s">
        <v>3</v>
      </c>
      <c r="C63" s="47" t="s">
        <v>4</v>
      </c>
      <c r="D63" s="47" t="s">
        <v>5</v>
      </c>
      <c r="E63" s="47" t="s">
        <v>6</v>
      </c>
      <c r="F63" s="47" t="s">
        <v>7</v>
      </c>
      <c r="G63" s="48" t="s">
        <v>8</v>
      </c>
      <c r="K63" s="19"/>
      <c r="M63" s="18"/>
    </row>
    <row r="64" ht="15.75" customHeight="1">
      <c r="B64" s="14" t="s">
        <v>162</v>
      </c>
      <c r="C64" s="15">
        <v>625.0</v>
      </c>
      <c r="D64" s="16" t="s">
        <v>356</v>
      </c>
      <c r="E64" s="17">
        <v>70000.0</v>
      </c>
      <c r="F64" s="17">
        <v>35000.0</v>
      </c>
      <c r="G64" s="17">
        <v>35000.0</v>
      </c>
      <c r="K64" s="19"/>
      <c r="M64" s="18"/>
    </row>
    <row r="65" ht="15.75" customHeight="1">
      <c r="B65" s="14" t="s">
        <v>349</v>
      </c>
      <c r="C65" s="15">
        <v>625.0</v>
      </c>
      <c r="D65" s="16" t="s">
        <v>356</v>
      </c>
      <c r="E65" s="17">
        <v>70000.0</v>
      </c>
      <c r="F65" s="17">
        <v>35000.0</v>
      </c>
      <c r="G65" s="17">
        <v>35000.0</v>
      </c>
      <c r="K65" s="19"/>
      <c r="L65" s="19"/>
      <c r="M65" s="18"/>
    </row>
    <row r="66" ht="15.75" customHeight="1">
      <c r="B66" s="20" t="s">
        <v>216</v>
      </c>
      <c r="C66" s="2"/>
      <c r="D66" s="3"/>
      <c r="E66" s="21">
        <f t="shared" ref="E66:G66" si="5">SUM(E60:E65)</f>
        <v>140000</v>
      </c>
      <c r="F66" s="21">
        <f t="shared" si="5"/>
        <v>70000</v>
      </c>
      <c r="G66" s="22">
        <f t="shared" si="5"/>
        <v>70000</v>
      </c>
      <c r="H66" s="23" t="s">
        <v>20</v>
      </c>
      <c r="K66" s="19"/>
      <c r="M66" s="18"/>
    </row>
    <row r="67" ht="15.75" customHeight="1">
      <c r="B67" s="20" t="s">
        <v>218</v>
      </c>
      <c r="C67" s="2"/>
      <c r="D67" s="3"/>
      <c r="E67" s="21"/>
      <c r="F67" s="21">
        <f>SUM(F66)</f>
        <v>70000</v>
      </c>
      <c r="G67" s="21"/>
      <c r="K67" s="19"/>
      <c r="M67" s="18"/>
    </row>
    <row r="68" ht="15.75" customHeight="1">
      <c r="B68" s="5"/>
      <c r="C68" s="5"/>
      <c r="D68" s="5"/>
      <c r="K68" s="19"/>
      <c r="M68" s="18"/>
    </row>
    <row r="69" ht="15.75" customHeight="1">
      <c r="B69" s="5"/>
      <c r="C69" s="5"/>
      <c r="D69" s="5"/>
      <c r="K69" s="5"/>
      <c r="L69" s="5"/>
      <c r="M69" s="31"/>
    </row>
    <row r="70" ht="15.75" customHeight="1">
      <c r="B70" s="10"/>
      <c r="C70" s="10"/>
      <c r="D70" s="10"/>
    </row>
    <row r="71" ht="15.75" customHeight="1">
      <c r="B71" s="13"/>
      <c r="C71" s="13"/>
      <c r="D71" s="13"/>
    </row>
    <row r="72" ht="15.75" customHeight="1">
      <c r="B72" s="19"/>
      <c r="D72" s="27"/>
      <c r="K72" s="5"/>
      <c r="L72" s="5"/>
      <c r="M72" s="5"/>
    </row>
    <row r="73" ht="15.75" customHeight="1">
      <c r="B73" s="19"/>
      <c r="D73" s="27"/>
      <c r="K73" s="5"/>
      <c r="L73" s="5"/>
      <c r="M73" s="5"/>
    </row>
    <row r="74" ht="15.75" customHeight="1">
      <c r="B74" s="19"/>
      <c r="D74" s="27"/>
      <c r="K74" s="10"/>
      <c r="L74" s="10"/>
      <c r="M74" s="10"/>
    </row>
    <row r="75" ht="15.75" customHeight="1">
      <c r="B75" s="19"/>
      <c r="D75" s="27"/>
      <c r="K75" s="13"/>
      <c r="L75" s="13"/>
      <c r="M75" s="13"/>
    </row>
    <row r="76" ht="15.75" customHeight="1">
      <c r="B76" s="19"/>
      <c r="D76" s="27"/>
      <c r="K76" s="19"/>
      <c r="M76" s="18"/>
    </row>
    <row r="77" ht="15.75" customHeight="1">
      <c r="B77" s="19"/>
      <c r="D77" s="27"/>
      <c r="K77" s="19"/>
      <c r="M77" s="18"/>
    </row>
    <row r="78" ht="15.75" customHeight="1">
      <c r="B78" s="5"/>
      <c r="C78" s="5"/>
      <c r="D78" s="26"/>
      <c r="K78" s="19"/>
      <c r="M78" s="18"/>
    </row>
    <row r="79" ht="15.75" customHeight="1">
      <c r="B79" s="5"/>
      <c r="C79" s="5"/>
      <c r="D79" s="5"/>
      <c r="K79" s="19"/>
      <c r="M79" s="18"/>
    </row>
    <row r="80" ht="15.75" customHeight="1">
      <c r="B80" s="10"/>
      <c r="C80" s="10"/>
      <c r="D80" s="10"/>
      <c r="K80" s="5"/>
      <c r="L80" s="5"/>
      <c r="M80" s="31"/>
    </row>
    <row r="81" ht="15.75" customHeight="1">
      <c r="B81" s="5"/>
      <c r="C81" s="5"/>
      <c r="D81" s="5"/>
    </row>
    <row r="82" ht="15.75" customHeight="1">
      <c r="B82" s="5"/>
      <c r="C82" s="5"/>
      <c r="D82" s="5"/>
    </row>
    <row r="83" ht="15.75" customHeight="1">
      <c r="B83" s="10"/>
      <c r="C83" s="10"/>
      <c r="D83" s="10"/>
    </row>
    <row r="84" ht="15.75" customHeight="1">
      <c r="B84" s="13"/>
      <c r="C84" s="13"/>
      <c r="D84" s="13"/>
      <c r="K84" s="5"/>
      <c r="L84" s="5"/>
      <c r="M84" s="5"/>
    </row>
    <row r="85" ht="15.75" customHeight="1">
      <c r="B85" s="19"/>
      <c r="D85" s="27"/>
      <c r="K85" s="5"/>
      <c r="L85" s="5"/>
      <c r="M85" s="5"/>
    </row>
    <row r="86" ht="15.75" customHeight="1">
      <c r="B86" s="19"/>
      <c r="D86" s="27"/>
      <c r="K86" s="10"/>
      <c r="L86" s="10"/>
      <c r="M86" s="10"/>
    </row>
    <row r="87" ht="15.75" customHeight="1">
      <c r="B87" s="5"/>
      <c r="C87" s="5"/>
      <c r="D87" s="26"/>
      <c r="K87" s="13"/>
      <c r="L87" s="13"/>
      <c r="M87" s="13"/>
    </row>
    <row r="88" ht="15.75" customHeight="1">
      <c r="B88" s="32"/>
      <c r="C88" s="32"/>
      <c r="D88" s="29"/>
      <c r="K88" s="19"/>
      <c r="M88" s="18"/>
    </row>
    <row r="89" ht="15.75" customHeight="1">
      <c r="B89" s="19"/>
      <c r="C89" s="19"/>
      <c r="D89" s="41"/>
      <c r="K89" s="19"/>
      <c r="M89" s="18"/>
    </row>
    <row r="90" ht="15.75" customHeight="1">
      <c r="B90" s="5"/>
      <c r="C90" s="5"/>
      <c r="D90" s="5"/>
      <c r="K90" s="19"/>
      <c r="M90" s="18"/>
    </row>
    <row r="91" ht="15.75" customHeight="1">
      <c r="B91" s="5"/>
      <c r="C91" s="5"/>
      <c r="D91" s="5"/>
      <c r="K91" s="19"/>
      <c r="M91" s="18"/>
    </row>
    <row r="92" ht="15.75" customHeight="1">
      <c r="B92" s="10"/>
      <c r="C92" s="10"/>
      <c r="D92" s="10"/>
      <c r="K92" s="19"/>
      <c r="M92" s="18"/>
    </row>
    <row r="93" ht="15.75" customHeight="1">
      <c r="B93" s="13"/>
      <c r="C93" s="13"/>
      <c r="D93" s="13"/>
      <c r="K93" s="32"/>
      <c r="L93" s="32"/>
      <c r="M93" s="29"/>
    </row>
    <row r="94" ht="15.75" customHeight="1">
      <c r="B94" s="19"/>
      <c r="D94" s="27"/>
      <c r="K94" s="19"/>
      <c r="L94" s="19"/>
      <c r="M94" s="29"/>
    </row>
    <row r="95" ht="15.75" customHeight="1">
      <c r="B95" s="19"/>
      <c r="D95" s="27"/>
      <c r="K95" s="5"/>
      <c r="L95" s="5"/>
      <c r="M95" s="31"/>
    </row>
    <row r="96" ht="15.75" customHeight="1">
      <c r="B96" s="19"/>
      <c r="D96" s="27"/>
    </row>
    <row r="97" ht="15.75" customHeight="1">
      <c r="B97" s="5"/>
      <c r="C97" s="5"/>
      <c r="D97" s="26"/>
    </row>
    <row r="98" ht="15.75" customHeight="1">
      <c r="B98" s="19"/>
      <c r="D98" s="18"/>
    </row>
    <row r="99" ht="15.75" customHeight="1">
      <c r="B99" s="19"/>
      <c r="D99" s="18"/>
    </row>
    <row r="100" ht="15.75" customHeight="1">
      <c r="B100" s="5"/>
      <c r="C100" s="5"/>
      <c r="D100" s="5"/>
    </row>
    <row r="101" ht="15.75" customHeight="1">
      <c r="B101" s="5"/>
      <c r="C101" s="5"/>
      <c r="D101" s="5"/>
    </row>
    <row r="102" ht="15.75" customHeight="1">
      <c r="B102" s="10"/>
      <c r="C102" s="10"/>
      <c r="D102" s="10"/>
    </row>
    <row r="103" ht="15.75" customHeight="1">
      <c r="B103" s="13"/>
      <c r="C103" s="13"/>
      <c r="D103" s="13"/>
    </row>
    <row r="104" ht="15.75" customHeight="1">
      <c r="B104" s="19"/>
      <c r="D104" s="27"/>
    </row>
    <row r="105" ht="15.75" customHeight="1">
      <c r="B105" s="19"/>
      <c r="D105" s="27"/>
    </row>
    <row r="106" ht="15.75" customHeight="1">
      <c r="B106" s="19"/>
      <c r="D106" s="27"/>
    </row>
    <row r="107" ht="15.75" customHeight="1">
      <c r="B107" s="5"/>
      <c r="C107" s="5"/>
      <c r="D107" s="26"/>
    </row>
    <row r="108" ht="15.75" customHeight="1">
      <c r="B108" s="72"/>
      <c r="C108" s="72"/>
      <c r="D108" s="72"/>
    </row>
    <row r="109" ht="15.75" customHeight="1">
      <c r="B109" s="57"/>
      <c r="C109" s="58"/>
      <c r="D109" s="59"/>
    </row>
    <row r="110" ht="15.75" customHeight="1">
      <c r="B110" s="5"/>
      <c r="C110" s="5"/>
      <c r="D110" s="5"/>
    </row>
    <row r="111" ht="15.75" customHeight="1">
      <c r="B111" s="5"/>
      <c r="C111" s="5"/>
      <c r="D111" s="5"/>
    </row>
    <row r="112" ht="15.75" customHeight="1">
      <c r="B112" s="10"/>
      <c r="C112" s="10"/>
      <c r="D112" s="10"/>
    </row>
    <row r="113" ht="15.75" customHeight="1">
      <c r="B113" s="13"/>
      <c r="C113" s="13"/>
      <c r="D113" s="13"/>
    </row>
    <row r="114" ht="15.75" customHeight="1">
      <c r="B114" s="19"/>
      <c r="D114" s="27"/>
    </row>
    <row r="115" ht="15.75" customHeight="1">
      <c r="B115" s="19"/>
      <c r="D115" s="27"/>
    </row>
    <row r="116" ht="15.75" customHeight="1">
      <c r="B116" s="19"/>
      <c r="D116" s="27"/>
    </row>
    <row r="117" ht="15.75" customHeight="1">
      <c r="B117" s="19"/>
      <c r="D117" s="27"/>
    </row>
    <row r="118" ht="15.75" customHeight="1">
      <c r="B118" s="19"/>
      <c r="D118" s="27"/>
    </row>
    <row r="119" ht="15.75" customHeight="1">
      <c r="B119" s="19"/>
      <c r="D119" s="27"/>
    </row>
    <row r="120" ht="15.75" customHeight="1">
      <c r="B120" s="19"/>
      <c r="D120" s="27"/>
    </row>
    <row r="121" ht="15.75" customHeight="1">
      <c r="B121" s="19"/>
      <c r="D121" s="27"/>
    </row>
    <row r="122" ht="15.75" customHeight="1">
      <c r="B122" s="19"/>
      <c r="D122" s="27"/>
    </row>
    <row r="123" ht="15.75" customHeight="1">
      <c r="B123" s="5"/>
      <c r="C123" s="5"/>
      <c r="D123" s="26"/>
    </row>
    <row r="124" ht="15.75" customHeight="1">
      <c r="B124" s="19"/>
      <c r="D124" s="27"/>
    </row>
    <row r="125" ht="15.75" customHeight="1">
      <c r="B125" s="10"/>
      <c r="C125" s="10"/>
      <c r="D125" s="26"/>
    </row>
    <row r="126" ht="15.75" customHeight="1"/>
    <row r="127" ht="15.75" customHeight="1">
      <c r="B127" s="5"/>
      <c r="C127" s="5"/>
      <c r="D127" s="5"/>
    </row>
    <row r="128" ht="15.75" customHeight="1">
      <c r="B128" s="5"/>
      <c r="C128" s="5"/>
      <c r="D128" s="5"/>
    </row>
    <row r="129" ht="15.75" customHeight="1">
      <c r="B129" s="5"/>
      <c r="C129" s="5"/>
      <c r="D129" s="5"/>
    </row>
    <row r="130" ht="15.75" customHeight="1">
      <c r="B130" s="13"/>
      <c r="C130" s="13"/>
      <c r="D130" s="13"/>
    </row>
    <row r="131" ht="15.75" customHeight="1">
      <c r="B131" s="19"/>
      <c r="D131" s="27"/>
    </row>
    <row r="132" ht="15.75" customHeight="1">
      <c r="B132" s="19"/>
      <c r="D132" s="27"/>
    </row>
    <row r="133" ht="15.75" customHeight="1">
      <c r="B133" s="19"/>
      <c r="D133" s="27"/>
    </row>
    <row r="134" ht="15.75" customHeight="1">
      <c r="B134" s="19"/>
      <c r="D134" s="27"/>
    </row>
    <row r="135" ht="15.75" customHeight="1">
      <c r="B135" s="19"/>
      <c r="D135" s="27"/>
    </row>
    <row r="136" ht="15.75" customHeight="1">
      <c r="B136" s="19"/>
      <c r="D136" s="27"/>
    </row>
    <row r="137" ht="15.75" customHeight="1">
      <c r="B137" s="19"/>
      <c r="D137" s="27"/>
    </row>
    <row r="138" ht="15.75" customHeight="1">
      <c r="B138" s="19"/>
      <c r="D138" s="27"/>
    </row>
    <row r="139" ht="15.75" customHeight="1">
      <c r="B139" s="19"/>
      <c r="D139" s="27"/>
    </row>
    <row r="140" ht="15.75" customHeight="1">
      <c r="B140" s="19"/>
      <c r="D140" s="27"/>
    </row>
    <row r="141" ht="15.75" customHeight="1">
      <c r="B141" s="10"/>
      <c r="C141" s="10"/>
      <c r="D141" s="26"/>
    </row>
    <row r="142" ht="15.75" customHeight="1">
      <c r="B142" s="19"/>
      <c r="C142" s="19"/>
      <c r="D142" s="27"/>
    </row>
    <row r="143" ht="15.75" customHeight="1">
      <c r="B143" s="10"/>
      <c r="C143" s="10"/>
      <c r="D143" s="26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8">
    <mergeCell ref="B2:D2"/>
    <mergeCell ref="E2:E4"/>
    <mergeCell ref="F2:F4"/>
    <mergeCell ref="G2:G4"/>
    <mergeCell ref="B3:D3"/>
    <mergeCell ref="B4:D4"/>
    <mergeCell ref="B7:D7"/>
    <mergeCell ref="B8:D8"/>
    <mergeCell ref="B11:D11"/>
    <mergeCell ref="E11:E13"/>
    <mergeCell ref="F11:F13"/>
    <mergeCell ref="G11:G13"/>
    <mergeCell ref="B12:D12"/>
    <mergeCell ref="B13:D13"/>
    <mergeCell ref="B22:D22"/>
    <mergeCell ref="B23:D23"/>
    <mergeCell ref="B26:D26"/>
    <mergeCell ref="E26:E28"/>
    <mergeCell ref="F26:F28"/>
    <mergeCell ref="G26:G28"/>
    <mergeCell ref="B27:D27"/>
    <mergeCell ref="B28:D28"/>
    <mergeCell ref="B33:D33"/>
    <mergeCell ref="B34:D34"/>
    <mergeCell ref="B37:D37"/>
    <mergeCell ref="E37:E39"/>
    <mergeCell ref="F37:F39"/>
    <mergeCell ref="G37:G39"/>
    <mergeCell ref="B38:D38"/>
    <mergeCell ref="B39:D39"/>
    <mergeCell ref="B42:D42"/>
    <mergeCell ref="B43:D43"/>
    <mergeCell ref="E46:E48"/>
    <mergeCell ref="F46:F48"/>
    <mergeCell ref="G46:G48"/>
    <mergeCell ref="B48:D48"/>
    <mergeCell ref="B60:D60"/>
    <mergeCell ref="B61:D61"/>
    <mergeCell ref="B66:D66"/>
    <mergeCell ref="B67:D67"/>
    <mergeCell ref="B46:D46"/>
    <mergeCell ref="B47:D47"/>
    <mergeCell ref="B56:D56"/>
    <mergeCell ref="B57:D57"/>
    <mergeCell ref="E60:E62"/>
    <mergeCell ref="F60:F62"/>
    <mergeCell ref="G60:G62"/>
    <mergeCell ref="B62:D6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4.86"/>
    <col customWidth="1" min="3" max="3" width="6.86"/>
    <col customWidth="1" min="4" max="4" width="24.43"/>
    <col customWidth="1" min="5" max="5" width="13.86"/>
    <col customWidth="1" min="6" max="6" width="20.57"/>
    <col customWidth="1" min="7" max="7" width="21.29"/>
    <col customWidth="1" min="8" max="8" width="20.29"/>
    <col customWidth="1" min="9" max="10" width="10.71"/>
    <col customWidth="1" min="11" max="11" width="30.43"/>
    <col customWidth="1" min="12" max="12" width="17.43"/>
    <col customWidth="1" min="13" max="26" width="10.71"/>
  </cols>
  <sheetData>
    <row r="2">
      <c r="B2" s="1" t="s">
        <v>0</v>
      </c>
      <c r="C2" s="2"/>
      <c r="D2" s="3"/>
      <c r="E2" s="4"/>
      <c r="F2" s="4"/>
      <c r="G2" s="4"/>
      <c r="H2" s="5"/>
      <c r="J2" s="5"/>
      <c r="K2" s="5"/>
      <c r="L2" s="5"/>
    </row>
    <row r="3">
      <c r="B3" s="6" t="s">
        <v>357</v>
      </c>
      <c r="C3" s="2"/>
      <c r="D3" s="3"/>
      <c r="E3" s="7"/>
      <c r="F3" s="7"/>
      <c r="G3" s="7"/>
      <c r="H3" s="5"/>
      <c r="J3" s="5"/>
      <c r="K3" s="5"/>
      <c r="L3" s="5"/>
    </row>
    <row r="4">
      <c r="B4" s="8" t="s">
        <v>2</v>
      </c>
      <c r="C4" s="2"/>
      <c r="D4" s="3"/>
      <c r="E4" s="9"/>
      <c r="F4" s="9"/>
      <c r="G4" s="9"/>
      <c r="H4" s="10"/>
      <c r="J4" s="10"/>
      <c r="K4" s="10"/>
      <c r="L4" s="10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  <c r="H5" s="13"/>
      <c r="J5" s="13"/>
      <c r="K5" s="13"/>
      <c r="L5" s="13"/>
    </row>
    <row r="6">
      <c r="B6" s="14" t="s">
        <v>16</v>
      </c>
      <c r="C6" s="15">
        <v>111.0</v>
      </c>
      <c r="D6" s="16" t="s">
        <v>358</v>
      </c>
      <c r="E6" s="17">
        <v>210000.0</v>
      </c>
      <c r="F6" s="17">
        <v>120000.0</v>
      </c>
      <c r="G6" s="17">
        <v>90000.0</v>
      </c>
      <c r="H6" s="18"/>
      <c r="J6" s="19"/>
      <c r="L6" s="18"/>
    </row>
    <row r="7">
      <c r="B7" s="20" t="s">
        <v>19</v>
      </c>
      <c r="C7" s="2"/>
      <c r="D7" s="3"/>
      <c r="E7" s="21">
        <f>SUM(E6)</f>
        <v>210000</v>
      </c>
      <c r="F7" s="21">
        <f>SUM(F5:F6)</f>
        <v>120000</v>
      </c>
      <c r="G7" s="22">
        <f>SUM(G6)</f>
        <v>90000</v>
      </c>
      <c r="H7" s="23" t="s">
        <v>20</v>
      </c>
      <c r="J7" s="19"/>
      <c r="L7" s="18"/>
    </row>
    <row r="8">
      <c r="B8" s="20" t="s">
        <v>218</v>
      </c>
      <c r="C8" s="2"/>
      <c r="D8" s="3"/>
      <c r="E8" s="21"/>
      <c r="F8" s="21">
        <f>SUM(F7)</f>
        <v>120000</v>
      </c>
      <c r="G8" s="21"/>
      <c r="J8" s="68"/>
      <c r="K8" s="68"/>
      <c r="L8" s="76"/>
    </row>
    <row r="9">
      <c r="J9" s="68"/>
      <c r="K9" s="68"/>
      <c r="L9" s="76"/>
    </row>
    <row r="10">
      <c r="B10" s="5"/>
      <c r="C10" s="5"/>
      <c r="D10" s="5"/>
      <c r="J10" s="68"/>
      <c r="K10" s="68"/>
      <c r="L10" s="76"/>
    </row>
    <row r="11">
      <c r="B11" s="1" t="s">
        <v>0</v>
      </c>
      <c r="C11" s="2"/>
      <c r="D11" s="3"/>
      <c r="E11" s="4"/>
      <c r="F11" s="4"/>
      <c r="G11" s="4"/>
      <c r="J11" s="5"/>
      <c r="K11" s="5"/>
      <c r="L11" s="42"/>
    </row>
    <row r="12">
      <c r="B12" s="6" t="s">
        <v>357</v>
      </c>
      <c r="C12" s="2"/>
      <c r="D12" s="3"/>
      <c r="E12" s="7"/>
      <c r="F12" s="7"/>
      <c r="G12" s="7"/>
    </row>
    <row r="13">
      <c r="B13" s="8" t="s">
        <v>22</v>
      </c>
      <c r="C13" s="2"/>
      <c r="D13" s="3"/>
      <c r="E13" s="9"/>
      <c r="F13" s="9"/>
      <c r="G13" s="9"/>
      <c r="H13" s="5"/>
      <c r="I13" s="5"/>
    </row>
    <row r="14">
      <c r="B14" s="11" t="s">
        <v>3</v>
      </c>
      <c r="C14" s="11" t="s">
        <v>4</v>
      </c>
      <c r="D14" s="11" t="s">
        <v>5</v>
      </c>
      <c r="E14" s="11" t="s">
        <v>6</v>
      </c>
      <c r="F14" s="11" t="s">
        <v>7</v>
      </c>
      <c r="G14" s="12" t="s">
        <v>8</v>
      </c>
      <c r="H14" s="5"/>
      <c r="I14" s="5"/>
    </row>
    <row r="15">
      <c r="B15" s="14" t="s">
        <v>47</v>
      </c>
      <c r="C15" s="15">
        <v>111.0</v>
      </c>
      <c r="D15" s="16" t="s">
        <v>358</v>
      </c>
      <c r="E15" s="30">
        <v>148750.0</v>
      </c>
      <c r="F15" s="17">
        <v>85000.0</v>
      </c>
      <c r="G15" s="30">
        <v>63750.0</v>
      </c>
      <c r="H15" s="10"/>
      <c r="I15" s="10"/>
    </row>
    <row r="16">
      <c r="B16" s="14" t="s">
        <v>56</v>
      </c>
      <c r="C16" s="15">
        <v>166.0</v>
      </c>
      <c r="D16" s="16" t="s">
        <v>359</v>
      </c>
      <c r="E16" s="30">
        <v>90000.0</v>
      </c>
      <c r="F16" s="17">
        <v>70000.0</v>
      </c>
      <c r="G16" s="30">
        <v>20000.0</v>
      </c>
      <c r="H16" s="13"/>
      <c r="I16" s="13"/>
    </row>
    <row r="17">
      <c r="B17" s="20" t="s">
        <v>19</v>
      </c>
      <c r="C17" s="2"/>
      <c r="D17" s="3"/>
      <c r="E17" s="33">
        <f t="shared" ref="E17:G17" si="1">SUM(E15:E16)</f>
        <v>238750</v>
      </c>
      <c r="F17" s="21">
        <f t="shared" si="1"/>
        <v>155000</v>
      </c>
      <c r="G17" s="49">
        <f t="shared" si="1"/>
        <v>83750</v>
      </c>
      <c r="H17" s="23" t="s">
        <v>20</v>
      </c>
      <c r="I17" s="18"/>
    </row>
    <row r="18">
      <c r="B18" s="20" t="s">
        <v>218</v>
      </c>
      <c r="C18" s="2"/>
      <c r="D18" s="3"/>
      <c r="E18" s="33"/>
      <c r="F18" s="21">
        <f>SUM(F17)</f>
        <v>155000</v>
      </c>
      <c r="G18" s="33"/>
      <c r="H18" s="10"/>
      <c r="I18" s="31"/>
    </row>
    <row r="19">
      <c r="B19" s="5"/>
      <c r="C19" s="5"/>
      <c r="D19" s="5"/>
      <c r="E19" s="31"/>
      <c r="F19" s="31"/>
      <c r="H19" s="10"/>
      <c r="I19" s="31"/>
    </row>
    <row r="20">
      <c r="B20" s="5"/>
      <c r="C20" s="5"/>
      <c r="D20" s="5"/>
    </row>
    <row r="21">
      <c r="B21" s="1" t="s">
        <v>0</v>
      </c>
      <c r="C21" s="2"/>
      <c r="D21" s="3"/>
      <c r="E21" s="4"/>
      <c r="F21" s="4"/>
      <c r="G21" s="4"/>
    </row>
    <row r="22">
      <c r="B22" s="6" t="s">
        <v>357</v>
      </c>
      <c r="C22" s="2"/>
      <c r="D22" s="3"/>
      <c r="E22" s="7"/>
      <c r="F22" s="7"/>
      <c r="G22" s="7"/>
    </row>
    <row r="23" ht="15.75" customHeight="1">
      <c r="B23" s="8" t="s">
        <v>64</v>
      </c>
      <c r="C23" s="2"/>
      <c r="D23" s="3"/>
      <c r="E23" s="9"/>
      <c r="F23" s="9"/>
      <c r="G23" s="9"/>
    </row>
    <row r="24" ht="15.75" customHeight="1">
      <c r="B24" s="11" t="s">
        <v>3</v>
      </c>
      <c r="C24" s="11" t="s">
        <v>4</v>
      </c>
      <c r="D24" s="11" t="s">
        <v>5</v>
      </c>
      <c r="E24" s="11" t="s">
        <v>6</v>
      </c>
      <c r="F24" s="11" t="s">
        <v>7</v>
      </c>
      <c r="G24" s="12" t="s">
        <v>8</v>
      </c>
    </row>
    <row r="25" ht="15.75" customHeight="1">
      <c r="B25" s="14" t="s">
        <v>92</v>
      </c>
      <c r="C25" s="15">
        <v>118.0</v>
      </c>
      <c r="D25" s="16" t="s">
        <v>360</v>
      </c>
      <c r="E25" s="17">
        <v>192750.0</v>
      </c>
      <c r="F25" s="17">
        <v>110000.0</v>
      </c>
      <c r="G25" s="17">
        <v>82750.0</v>
      </c>
    </row>
    <row r="26" ht="15.75" customHeight="1">
      <c r="B26" s="14" t="s">
        <v>92</v>
      </c>
      <c r="C26" s="15">
        <v>76.0</v>
      </c>
      <c r="D26" s="16" t="s">
        <v>361</v>
      </c>
      <c r="E26" s="17">
        <v>10000.0</v>
      </c>
      <c r="F26" s="17">
        <v>10000.0</v>
      </c>
      <c r="G26" s="17">
        <v>0.0</v>
      </c>
    </row>
    <row r="27" ht="15.75" customHeight="1">
      <c r="B27" s="20" t="s">
        <v>216</v>
      </c>
      <c r="C27" s="2"/>
      <c r="D27" s="3"/>
      <c r="E27" s="21">
        <f t="shared" ref="E27:F27" si="2">SUM(E25:E26)</f>
        <v>202750</v>
      </c>
      <c r="F27" s="21">
        <f t="shared" si="2"/>
        <v>120000</v>
      </c>
      <c r="G27" s="22">
        <v>82750.0</v>
      </c>
      <c r="H27" s="23" t="s">
        <v>20</v>
      </c>
    </row>
    <row r="28" ht="15.75" customHeight="1">
      <c r="B28" s="20" t="s">
        <v>218</v>
      </c>
      <c r="C28" s="2"/>
      <c r="D28" s="3"/>
      <c r="E28" s="21"/>
      <c r="F28" s="21">
        <f>SUM(F27)</f>
        <v>120000</v>
      </c>
      <c r="G28" s="21"/>
    </row>
    <row r="29" ht="15.75" customHeight="1">
      <c r="B29" s="5"/>
      <c r="C29" s="5"/>
      <c r="D29" s="5"/>
      <c r="E29" s="5"/>
      <c r="F29" s="5"/>
    </row>
    <row r="30" ht="15.75" customHeight="1">
      <c r="B30" s="5"/>
      <c r="C30" s="5"/>
      <c r="D30" s="5"/>
      <c r="E30" s="5"/>
      <c r="F30" s="5"/>
    </row>
    <row r="31" ht="15.75" customHeight="1">
      <c r="B31" s="1" t="s">
        <v>0</v>
      </c>
      <c r="C31" s="2"/>
      <c r="D31" s="3"/>
      <c r="E31" s="28"/>
      <c r="F31" s="28"/>
      <c r="G31" s="28"/>
    </row>
    <row r="32" ht="15.75" customHeight="1">
      <c r="B32" s="6" t="s">
        <v>357</v>
      </c>
      <c r="C32" s="2"/>
      <c r="D32" s="3"/>
      <c r="E32" s="7"/>
      <c r="F32" s="7"/>
      <c r="G32" s="7"/>
    </row>
    <row r="33" ht="15.75" customHeight="1">
      <c r="B33" s="8" t="s">
        <v>101</v>
      </c>
      <c r="C33" s="2"/>
      <c r="D33" s="3"/>
      <c r="E33" s="9"/>
      <c r="F33" s="9"/>
      <c r="G33" s="9"/>
    </row>
    <row r="34" ht="15.75" customHeight="1">
      <c r="B34" s="47" t="s">
        <v>3</v>
      </c>
      <c r="C34" s="47" t="s">
        <v>4</v>
      </c>
      <c r="D34" s="47" t="s">
        <v>5</v>
      </c>
      <c r="E34" s="47" t="s">
        <v>6</v>
      </c>
      <c r="F34" s="47" t="s">
        <v>7</v>
      </c>
      <c r="G34" s="48" t="s">
        <v>8</v>
      </c>
    </row>
    <row r="35" ht="15.75" customHeight="1">
      <c r="B35" s="14" t="s">
        <v>203</v>
      </c>
      <c r="C35" s="15">
        <v>166.0</v>
      </c>
      <c r="D35" s="16" t="s">
        <v>362</v>
      </c>
      <c r="E35" s="17">
        <v>134750.0</v>
      </c>
      <c r="F35" s="17">
        <v>77000.0</v>
      </c>
      <c r="G35" s="17">
        <v>57750.0</v>
      </c>
    </row>
    <row r="36" ht="15.75" customHeight="1">
      <c r="B36" s="14" t="s">
        <v>123</v>
      </c>
      <c r="C36" s="15">
        <v>111.0</v>
      </c>
      <c r="D36" s="16" t="s">
        <v>363</v>
      </c>
      <c r="E36" s="17">
        <v>157500.0</v>
      </c>
      <c r="F36" s="17">
        <v>90000.0</v>
      </c>
      <c r="G36" s="17">
        <v>67500.0</v>
      </c>
      <c r="I36" s="5"/>
      <c r="J36" s="5"/>
      <c r="K36" s="5"/>
    </row>
    <row r="37" ht="15.75" customHeight="1">
      <c r="B37" s="20" t="s">
        <v>19</v>
      </c>
      <c r="C37" s="2"/>
      <c r="D37" s="3"/>
      <c r="E37" s="21">
        <f t="shared" ref="E37:G37" si="3">SUM(E35:E36)</f>
        <v>292250</v>
      </c>
      <c r="F37" s="21">
        <f t="shared" si="3"/>
        <v>167000</v>
      </c>
      <c r="G37" s="22">
        <f t="shared" si="3"/>
        <v>125250</v>
      </c>
      <c r="H37" s="23" t="s">
        <v>20</v>
      </c>
      <c r="I37" s="5"/>
      <c r="J37" s="5"/>
      <c r="K37" s="5"/>
    </row>
    <row r="38" ht="15.75" customHeight="1">
      <c r="B38" s="20" t="s">
        <v>218</v>
      </c>
      <c r="C38" s="2"/>
      <c r="D38" s="3"/>
      <c r="E38" s="21"/>
      <c r="F38" s="21">
        <f>SUM(F37)</f>
        <v>167000</v>
      </c>
      <c r="G38" s="21"/>
      <c r="I38" s="10"/>
      <c r="J38" s="10"/>
      <c r="K38" s="10"/>
    </row>
    <row r="39" ht="15.75" customHeight="1">
      <c r="B39" s="10"/>
      <c r="C39" s="10"/>
      <c r="D39" s="31"/>
      <c r="I39" s="10"/>
      <c r="J39" s="10"/>
      <c r="K39" s="10"/>
    </row>
    <row r="40" ht="15.75" customHeight="1">
      <c r="B40" s="13"/>
      <c r="C40" s="13"/>
      <c r="D40" s="13"/>
      <c r="I40" s="32"/>
      <c r="J40" s="32"/>
      <c r="K40" s="29"/>
    </row>
    <row r="41" ht="15.75" customHeight="1">
      <c r="B41" s="1" t="s">
        <v>0</v>
      </c>
      <c r="C41" s="2"/>
      <c r="D41" s="3"/>
      <c r="E41" s="28"/>
      <c r="F41" s="28"/>
      <c r="G41" s="28"/>
      <c r="I41" s="32"/>
      <c r="J41" s="32"/>
      <c r="K41" s="29"/>
    </row>
    <row r="42" ht="15.75" customHeight="1">
      <c r="B42" s="6" t="s">
        <v>357</v>
      </c>
      <c r="C42" s="2"/>
      <c r="D42" s="3"/>
      <c r="E42" s="7"/>
      <c r="F42" s="7"/>
      <c r="G42" s="7"/>
      <c r="I42" s="10"/>
      <c r="J42" s="10"/>
      <c r="K42" s="31"/>
    </row>
    <row r="43" ht="15.75" customHeight="1">
      <c r="B43" s="8" t="s">
        <v>126</v>
      </c>
      <c r="C43" s="2"/>
      <c r="D43" s="3"/>
      <c r="E43" s="9"/>
      <c r="F43" s="9"/>
      <c r="G43" s="9"/>
    </row>
    <row r="44" ht="15.75" customHeight="1">
      <c r="B44" s="47" t="s">
        <v>3</v>
      </c>
      <c r="C44" s="47" t="s">
        <v>4</v>
      </c>
      <c r="D44" s="47" t="s">
        <v>5</v>
      </c>
      <c r="E44" s="47" t="s">
        <v>6</v>
      </c>
      <c r="F44" s="47" t="s">
        <v>7</v>
      </c>
      <c r="G44" s="48" t="s">
        <v>8</v>
      </c>
      <c r="I44" s="5"/>
      <c r="J44" s="5"/>
      <c r="K44" s="5"/>
    </row>
    <row r="45" ht="15.75" customHeight="1">
      <c r="B45" s="14" t="s">
        <v>131</v>
      </c>
      <c r="C45" s="15"/>
      <c r="D45" s="16" t="s">
        <v>364</v>
      </c>
      <c r="E45" s="17">
        <v>60000.0</v>
      </c>
      <c r="F45" s="17">
        <v>60000.0</v>
      </c>
      <c r="G45" s="17">
        <v>0.0</v>
      </c>
      <c r="I45" s="5"/>
      <c r="J45" s="5"/>
      <c r="K45" s="5"/>
    </row>
    <row r="46" ht="15.75" customHeight="1">
      <c r="B46" s="14" t="s">
        <v>132</v>
      </c>
      <c r="C46" s="15">
        <v>118.0</v>
      </c>
      <c r="D46" s="16" t="s">
        <v>365</v>
      </c>
      <c r="E46" s="17">
        <v>192500.0</v>
      </c>
      <c r="F46" s="17">
        <v>110000.0</v>
      </c>
      <c r="G46" s="17">
        <v>82500.0</v>
      </c>
      <c r="I46" s="10"/>
      <c r="J46" s="10"/>
      <c r="K46" s="10"/>
    </row>
    <row r="47" ht="15.75" customHeight="1">
      <c r="B47" s="14" t="s">
        <v>344</v>
      </c>
      <c r="C47" s="15">
        <v>118.0</v>
      </c>
      <c r="D47" s="16" t="s">
        <v>366</v>
      </c>
      <c r="E47" s="17">
        <v>192500.0</v>
      </c>
      <c r="F47" s="17">
        <v>-110000.0</v>
      </c>
      <c r="G47" s="17">
        <v>82500.0</v>
      </c>
      <c r="I47" s="13"/>
      <c r="J47" s="13"/>
      <c r="K47" s="13"/>
    </row>
    <row r="48" ht="15.75" customHeight="1">
      <c r="B48" s="14" t="s">
        <v>136</v>
      </c>
      <c r="C48" s="15">
        <v>118.0</v>
      </c>
      <c r="D48" s="16" t="s">
        <v>366</v>
      </c>
      <c r="E48" s="17">
        <v>192500.0</v>
      </c>
      <c r="F48" s="17">
        <v>-110000.0</v>
      </c>
      <c r="G48" s="17">
        <v>82500.0</v>
      </c>
      <c r="I48" s="19"/>
      <c r="K48" s="18"/>
    </row>
    <row r="49" ht="15.75" customHeight="1">
      <c r="B49" s="14" t="s">
        <v>142</v>
      </c>
      <c r="C49" s="15">
        <v>118.0</v>
      </c>
      <c r="D49" s="16" t="s">
        <v>367</v>
      </c>
      <c r="E49" s="17">
        <v>148750.0</v>
      </c>
      <c r="F49" s="17">
        <v>-85000.0</v>
      </c>
      <c r="G49" s="17">
        <v>63750.0</v>
      </c>
      <c r="I49" s="10"/>
      <c r="J49" s="10"/>
      <c r="K49" s="31"/>
    </row>
    <row r="50" ht="15.75" customHeight="1">
      <c r="B50" s="14" t="s">
        <v>143</v>
      </c>
      <c r="C50" s="15">
        <v>118.0</v>
      </c>
      <c r="D50" s="16" t="s">
        <v>368</v>
      </c>
      <c r="E50" s="17">
        <v>119000.0</v>
      </c>
      <c r="F50" s="17">
        <v>85000.0</v>
      </c>
      <c r="G50" s="17">
        <v>34000.0</v>
      </c>
    </row>
    <row r="51" ht="15.75" customHeight="1">
      <c r="B51" s="20" t="s">
        <v>19</v>
      </c>
      <c r="C51" s="2"/>
      <c r="D51" s="3"/>
      <c r="E51" s="33">
        <f>SUM(E45:E50)</f>
        <v>905250</v>
      </c>
      <c r="F51" s="21">
        <v>560000.0</v>
      </c>
      <c r="G51" s="34">
        <f>SUM(G45:G50)</f>
        <v>345250</v>
      </c>
      <c r="H51" s="23" t="s">
        <v>20</v>
      </c>
      <c r="I51" s="5"/>
      <c r="J51" s="5"/>
      <c r="K51" s="5"/>
    </row>
    <row r="52" ht="15.75" customHeight="1">
      <c r="B52" s="35" t="s">
        <v>62</v>
      </c>
      <c r="C52" s="2"/>
      <c r="D52" s="3"/>
      <c r="E52" s="36"/>
      <c r="F52" s="37">
        <v>-305000.0</v>
      </c>
      <c r="G52" s="43"/>
      <c r="I52" s="5"/>
      <c r="J52" s="5"/>
      <c r="K52" s="5"/>
    </row>
    <row r="53" ht="15.75" customHeight="1">
      <c r="B53" s="20" t="s">
        <v>63</v>
      </c>
      <c r="C53" s="2"/>
      <c r="D53" s="3"/>
      <c r="E53" s="21"/>
      <c r="F53" s="39">
        <f>SUM(F51:F52)</f>
        <v>255000</v>
      </c>
      <c r="G53" s="43"/>
      <c r="I53" s="10"/>
      <c r="J53" s="10"/>
      <c r="K53" s="10"/>
    </row>
    <row r="54" ht="15.75" customHeight="1">
      <c r="B54" s="19"/>
      <c r="D54" s="18"/>
      <c r="I54" s="13"/>
      <c r="J54" s="13"/>
      <c r="K54" s="13"/>
    </row>
    <row r="55" ht="15.75" customHeight="1">
      <c r="B55" s="10"/>
      <c r="C55" s="10"/>
      <c r="D55" s="31"/>
      <c r="I55" s="19"/>
      <c r="K55" s="18"/>
    </row>
    <row r="56" ht="15.75" customHeight="1">
      <c r="B56" s="1" t="s">
        <v>0</v>
      </c>
      <c r="C56" s="2"/>
      <c r="D56" s="3"/>
      <c r="E56" s="28"/>
      <c r="F56" s="28"/>
      <c r="G56" s="28"/>
      <c r="I56" s="19"/>
      <c r="K56" s="18"/>
    </row>
    <row r="57" ht="15.75" customHeight="1">
      <c r="B57" s="6" t="s">
        <v>357</v>
      </c>
      <c r="C57" s="2"/>
      <c r="D57" s="3"/>
      <c r="E57" s="7"/>
      <c r="F57" s="7"/>
      <c r="G57" s="7"/>
      <c r="I57" s="68"/>
      <c r="J57" s="68"/>
      <c r="K57" s="76"/>
    </row>
    <row r="58" ht="15.75" customHeight="1">
      <c r="B58" s="8" t="s">
        <v>157</v>
      </c>
      <c r="C58" s="2"/>
      <c r="D58" s="3"/>
      <c r="E58" s="9"/>
      <c r="F58" s="9"/>
      <c r="G58" s="9"/>
      <c r="I58" s="68"/>
      <c r="J58" s="68"/>
      <c r="K58" s="31"/>
    </row>
    <row r="59" ht="15.75" customHeight="1">
      <c r="B59" s="47" t="s">
        <v>3</v>
      </c>
      <c r="C59" s="47" t="s">
        <v>4</v>
      </c>
      <c r="D59" s="47" t="s">
        <v>5</v>
      </c>
      <c r="E59" s="47" t="s">
        <v>6</v>
      </c>
      <c r="F59" s="47" t="s">
        <v>7</v>
      </c>
      <c r="G59" s="48" t="s">
        <v>8</v>
      </c>
      <c r="I59" s="10"/>
      <c r="J59" s="10"/>
      <c r="K59" s="31"/>
    </row>
    <row r="60" ht="15.75" customHeight="1">
      <c r="B60" s="14" t="s">
        <v>162</v>
      </c>
      <c r="C60" s="15">
        <v>166.0</v>
      </c>
      <c r="D60" s="16" t="s">
        <v>359</v>
      </c>
      <c r="E60" s="17">
        <v>134750.0</v>
      </c>
      <c r="F60" s="17">
        <v>77000.0</v>
      </c>
      <c r="G60" s="17">
        <v>57750.0</v>
      </c>
    </row>
    <row r="61" ht="15.75" customHeight="1">
      <c r="B61" s="20" t="s">
        <v>19</v>
      </c>
      <c r="C61" s="2"/>
      <c r="D61" s="3"/>
      <c r="E61" s="33">
        <f>SUM(E55:E60)</f>
        <v>134750</v>
      </c>
      <c r="F61" s="21">
        <f>SUM(F60)</f>
        <v>77000</v>
      </c>
      <c r="G61" s="34">
        <f>SUM(G55:G60)</f>
        <v>57750</v>
      </c>
      <c r="H61" s="23" t="s">
        <v>20</v>
      </c>
    </row>
    <row r="62" ht="15.75" customHeight="1">
      <c r="B62" s="35" t="s">
        <v>369</v>
      </c>
      <c r="C62" s="2"/>
      <c r="D62" s="3"/>
      <c r="E62" s="36"/>
      <c r="F62" s="37">
        <v>85000.0</v>
      </c>
      <c r="G62" s="43"/>
    </row>
    <row r="63" ht="15.75" customHeight="1">
      <c r="B63" s="20" t="s">
        <v>63</v>
      </c>
      <c r="C63" s="2"/>
      <c r="D63" s="3"/>
      <c r="E63" s="21"/>
      <c r="F63" s="39">
        <f>SUM(F61:F62)</f>
        <v>162000</v>
      </c>
      <c r="G63" s="43"/>
    </row>
    <row r="64" ht="15.75" customHeight="1">
      <c r="B64" s="19"/>
      <c r="C64" s="19"/>
      <c r="D64" s="50"/>
    </row>
    <row r="65" ht="15.75" customHeight="1">
      <c r="B65" s="10"/>
      <c r="C65" s="10"/>
      <c r="D65" s="31"/>
    </row>
    <row r="66" ht="15.75" customHeight="1">
      <c r="B66" s="19"/>
      <c r="D66" s="27"/>
    </row>
    <row r="67" ht="15.75" customHeight="1">
      <c r="B67" s="19"/>
      <c r="D67" s="27"/>
    </row>
    <row r="68" ht="15.75" customHeight="1">
      <c r="B68" s="5"/>
      <c r="C68" s="5"/>
      <c r="D68" s="5"/>
    </row>
    <row r="69" ht="15.75" customHeight="1">
      <c r="B69" s="5"/>
      <c r="C69" s="5"/>
      <c r="D69" s="5"/>
    </row>
    <row r="70" ht="15.75" customHeight="1">
      <c r="B70" s="10"/>
      <c r="C70" s="10"/>
      <c r="D70" s="10"/>
    </row>
    <row r="71" ht="15.75" customHeight="1">
      <c r="B71" s="19"/>
      <c r="D71" s="18"/>
    </row>
    <row r="72" ht="15.75" customHeight="1">
      <c r="B72" s="10"/>
      <c r="C72" s="10"/>
      <c r="D72" s="31"/>
    </row>
    <row r="73" ht="15.75" customHeight="1"/>
    <row r="74" ht="15.75" customHeight="1"/>
    <row r="75" ht="15.75" customHeight="1">
      <c r="B75" s="5"/>
      <c r="C75" s="5"/>
      <c r="D75" s="5"/>
    </row>
    <row r="76" ht="15.75" customHeight="1">
      <c r="B76" s="5"/>
      <c r="C76" s="5"/>
      <c r="D76" s="5"/>
    </row>
    <row r="77" ht="15.75" customHeight="1">
      <c r="B77" s="10"/>
      <c r="C77" s="10"/>
      <c r="D77" s="10"/>
    </row>
    <row r="78" ht="15.75" customHeight="1">
      <c r="B78" s="19"/>
      <c r="D78" s="18"/>
    </row>
    <row r="79" ht="15.75" customHeight="1">
      <c r="B79" s="10"/>
      <c r="C79" s="10"/>
      <c r="D79" s="31"/>
    </row>
    <row r="80" ht="15.75" customHeight="1">
      <c r="B80" s="19"/>
      <c r="C80" s="19"/>
      <c r="D80" s="18"/>
    </row>
    <row r="81" ht="15.75" customHeight="1">
      <c r="B81" s="10"/>
      <c r="C81" s="10"/>
      <c r="D81" s="31"/>
    </row>
    <row r="82" ht="15.75" customHeight="1"/>
    <row r="83" ht="15.75" customHeight="1"/>
    <row r="84" ht="15.75" customHeight="1">
      <c r="B84" s="5"/>
      <c r="C84" s="5"/>
      <c r="D84" s="5"/>
    </row>
    <row r="85" ht="15.75" customHeight="1">
      <c r="B85" s="5"/>
      <c r="C85" s="5"/>
      <c r="D85" s="5"/>
    </row>
    <row r="86" ht="15.75" customHeight="1">
      <c r="B86" s="10"/>
      <c r="C86" s="10"/>
      <c r="D86" s="10"/>
    </row>
    <row r="87" ht="15.75" customHeight="1">
      <c r="B87" s="19"/>
      <c r="D87" s="18"/>
    </row>
    <row r="88" ht="15.75" customHeight="1">
      <c r="B88" s="10"/>
      <c r="C88" s="10"/>
      <c r="D88" s="31"/>
    </row>
    <row r="89" ht="15.75" customHeight="1">
      <c r="B89" s="19"/>
      <c r="C89" s="19"/>
      <c r="D89" s="18"/>
    </row>
    <row r="90" ht="15.75" customHeight="1">
      <c r="B90" s="10"/>
      <c r="C90" s="10"/>
      <c r="D90" s="31"/>
    </row>
    <row r="91" ht="15.75" customHeight="1"/>
    <row r="92" ht="15.75" customHeight="1"/>
    <row r="93" ht="15.75" customHeight="1">
      <c r="B93" s="5"/>
      <c r="C93" s="5"/>
      <c r="D93" s="5"/>
    </row>
    <row r="94" ht="15.75" customHeight="1">
      <c r="B94" s="5"/>
      <c r="C94" s="5"/>
      <c r="D94" s="5"/>
    </row>
    <row r="95" ht="15.75" customHeight="1">
      <c r="B95" s="10"/>
      <c r="C95" s="10"/>
      <c r="D95" s="10"/>
    </row>
    <row r="96" ht="15.75" customHeight="1">
      <c r="B96" s="19"/>
      <c r="D96" s="18"/>
    </row>
    <row r="97" ht="15.75" customHeight="1">
      <c r="B97" s="19"/>
      <c r="D97" s="18"/>
    </row>
    <row r="98" ht="15.75" customHeight="1">
      <c r="B98" s="19"/>
      <c r="D98" s="18"/>
    </row>
    <row r="99" ht="15.75" customHeight="1">
      <c r="B99" s="10"/>
      <c r="C99" s="10"/>
      <c r="D99" s="31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50">
    <mergeCell ref="B2:D2"/>
    <mergeCell ref="E2:E4"/>
    <mergeCell ref="F2:F4"/>
    <mergeCell ref="G2:G4"/>
    <mergeCell ref="B3:D3"/>
    <mergeCell ref="B4:D4"/>
    <mergeCell ref="B7:D7"/>
    <mergeCell ref="B8:D8"/>
    <mergeCell ref="B11:D11"/>
    <mergeCell ref="E11:E13"/>
    <mergeCell ref="F11:F13"/>
    <mergeCell ref="G11:G13"/>
    <mergeCell ref="B12:D12"/>
    <mergeCell ref="B13:D13"/>
    <mergeCell ref="B17:D17"/>
    <mergeCell ref="B18:D18"/>
    <mergeCell ref="B21:D21"/>
    <mergeCell ref="E21:E23"/>
    <mergeCell ref="F21:F23"/>
    <mergeCell ref="G21:G23"/>
    <mergeCell ref="B22:D22"/>
    <mergeCell ref="B23:D23"/>
    <mergeCell ref="B27:D27"/>
    <mergeCell ref="B28:D28"/>
    <mergeCell ref="B31:D31"/>
    <mergeCell ref="E31:E33"/>
    <mergeCell ref="F31:F33"/>
    <mergeCell ref="G31:G33"/>
    <mergeCell ref="B32:D32"/>
    <mergeCell ref="B33:D33"/>
    <mergeCell ref="B37:D37"/>
    <mergeCell ref="B38:D38"/>
    <mergeCell ref="E41:E43"/>
    <mergeCell ref="F41:F43"/>
    <mergeCell ref="G41:G43"/>
    <mergeCell ref="B43:D43"/>
    <mergeCell ref="F56:F58"/>
    <mergeCell ref="G56:G58"/>
    <mergeCell ref="B57:D57"/>
    <mergeCell ref="B58:D58"/>
    <mergeCell ref="B61:D61"/>
    <mergeCell ref="B62:D62"/>
    <mergeCell ref="B63:D63"/>
    <mergeCell ref="B41:D41"/>
    <mergeCell ref="B42:D42"/>
    <mergeCell ref="B51:D51"/>
    <mergeCell ref="B52:D52"/>
    <mergeCell ref="B53:D53"/>
    <mergeCell ref="B56:D56"/>
    <mergeCell ref="E56:E58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17.0"/>
    <col customWidth="1" min="3" max="3" width="9.71"/>
    <col customWidth="1" min="4" max="4" width="22.0"/>
    <col customWidth="1" min="5" max="5" width="13.86"/>
    <col customWidth="1" min="6" max="6" width="21.14"/>
    <col customWidth="1" min="7" max="7" width="23.43"/>
    <col customWidth="1" min="8" max="8" width="18.71"/>
    <col customWidth="1" min="9" max="26" width="10.71"/>
  </cols>
  <sheetData>
    <row r="2">
      <c r="B2" s="1" t="s">
        <v>0</v>
      </c>
      <c r="C2" s="2"/>
      <c r="D2" s="3"/>
      <c r="E2" s="4"/>
      <c r="F2" s="4"/>
      <c r="G2" s="4"/>
    </row>
    <row r="3">
      <c r="B3" s="6" t="s">
        <v>370</v>
      </c>
      <c r="C3" s="2"/>
      <c r="D3" s="3"/>
      <c r="E3" s="7"/>
      <c r="F3" s="7"/>
      <c r="G3" s="7"/>
    </row>
    <row r="4">
      <c r="B4" s="8" t="s">
        <v>22</v>
      </c>
      <c r="C4" s="2"/>
      <c r="D4" s="3"/>
      <c r="E4" s="9"/>
      <c r="F4" s="9"/>
      <c r="G4" s="9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</row>
    <row r="6">
      <c r="B6" s="14" t="s">
        <v>60</v>
      </c>
      <c r="C6" s="15">
        <v>598.0</v>
      </c>
      <c r="D6" s="16" t="s">
        <v>371</v>
      </c>
      <c r="E6" s="17">
        <v>22500.0</v>
      </c>
      <c r="F6" s="17">
        <v>15000.0</v>
      </c>
      <c r="G6" s="17">
        <v>7500.0</v>
      </c>
    </row>
    <row r="7">
      <c r="B7" s="14" t="s">
        <v>60</v>
      </c>
      <c r="C7" s="15">
        <v>596.0</v>
      </c>
      <c r="D7" s="16" t="s">
        <v>372</v>
      </c>
      <c r="E7" s="17">
        <v>127500.0</v>
      </c>
      <c r="F7" s="17">
        <v>85000.0</v>
      </c>
      <c r="G7" s="17">
        <v>42500.0</v>
      </c>
    </row>
    <row r="8">
      <c r="B8" s="20" t="s">
        <v>19</v>
      </c>
      <c r="C8" s="2"/>
      <c r="D8" s="3"/>
      <c r="E8" s="21">
        <f t="shared" ref="E8:G8" si="1">SUM(E6:E7)</f>
        <v>150000</v>
      </c>
      <c r="F8" s="21">
        <f t="shared" si="1"/>
        <v>100000</v>
      </c>
      <c r="G8" s="22">
        <f t="shared" si="1"/>
        <v>50000</v>
      </c>
      <c r="H8" s="23" t="s">
        <v>20</v>
      </c>
    </row>
    <row r="9">
      <c r="B9" s="20" t="s">
        <v>218</v>
      </c>
      <c r="C9" s="2"/>
      <c r="D9" s="3"/>
      <c r="E9" s="21"/>
      <c r="F9" s="21">
        <f>SUM(F8)</f>
        <v>100000</v>
      </c>
      <c r="G9" s="21"/>
    </row>
    <row r="10">
      <c r="B10" s="5"/>
      <c r="C10" s="5"/>
      <c r="D10" s="5"/>
    </row>
    <row r="11">
      <c r="B11" s="5"/>
      <c r="C11" s="5"/>
      <c r="D11" s="5"/>
    </row>
    <row r="12">
      <c r="B12" s="1" t="s">
        <v>0</v>
      </c>
      <c r="C12" s="2"/>
      <c r="D12" s="3"/>
      <c r="E12" s="4"/>
      <c r="F12" s="4"/>
      <c r="G12" s="4"/>
    </row>
    <row r="13">
      <c r="B13" s="6" t="s">
        <v>370</v>
      </c>
      <c r="C13" s="2"/>
      <c r="D13" s="3"/>
      <c r="E13" s="7"/>
      <c r="F13" s="7"/>
      <c r="G13" s="7"/>
    </row>
    <row r="14">
      <c r="B14" s="8" t="s">
        <v>64</v>
      </c>
      <c r="C14" s="2"/>
      <c r="D14" s="3"/>
      <c r="E14" s="9"/>
      <c r="F14" s="9"/>
      <c r="G14" s="9"/>
    </row>
    <row r="15">
      <c r="B15" s="11" t="s">
        <v>3</v>
      </c>
      <c r="C15" s="11" t="s">
        <v>4</v>
      </c>
      <c r="D15" s="11" t="s">
        <v>5</v>
      </c>
      <c r="E15" s="11" t="s">
        <v>6</v>
      </c>
      <c r="F15" s="11" t="s">
        <v>7</v>
      </c>
      <c r="G15" s="12" t="s">
        <v>8</v>
      </c>
      <c r="H15" s="5"/>
      <c r="I15" s="5"/>
    </row>
    <row r="16">
      <c r="B16" s="14" t="s">
        <v>91</v>
      </c>
      <c r="C16" s="15">
        <v>592.0</v>
      </c>
      <c r="D16" s="16" t="s">
        <v>373</v>
      </c>
      <c r="E16" s="17">
        <v>35000.0</v>
      </c>
      <c r="F16" s="17">
        <v>35000.0</v>
      </c>
      <c r="G16" s="36">
        <v>0.0</v>
      </c>
      <c r="H16" s="10"/>
      <c r="I16" s="10"/>
    </row>
    <row r="17">
      <c r="B17" s="14" t="s">
        <v>91</v>
      </c>
      <c r="C17" s="15">
        <v>592.0</v>
      </c>
      <c r="D17" s="16" t="s">
        <v>373</v>
      </c>
      <c r="E17" s="17">
        <v>35000.0</v>
      </c>
      <c r="F17" s="17">
        <v>35000.0</v>
      </c>
      <c r="G17" s="36">
        <v>0.0</v>
      </c>
      <c r="H17" s="13"/>
      <c r="I17" s="13"/>
    </row>
    <row r="18">
      <c r="B18" s="14" t="s">
        <v>92</v>
      </c>
      <c r="C18" s="15">
        <v>592.0</v>
      </c>
      <c r="D18" s="16" t="s">
        <v>373</v>
      </c>
      <c r="E18" s="17">
        <v>35000.0</v>
      </c>
      <c r="F18" s="17">
        <v>35000.0</v>
      </c>
      <c r="G18" s="36">
        <v>0.0</v>
      </c>
    </row>
    <row r="19">
      <c r="B19" s="14" t="s">
        <v>92</v>
      </c>
      <c r="C19" s="15">
        <v>592.0</v>
      </c>
      <c r="D19" s="16" t="s">
        <v>373</v>
      </c>
      <c r="E19" s="17">
        <v>35000.0</v>
      </c>
      <c r="F19" s="17">
        <v>35000.0</v>
      </c>
      <c r="G19" s="36">
        <v>0.0</v>
      </c>
    </row>
    <row r="20">
      <c r="B20" s="20" t="s">
        <v>19</v>
      </c>
      <c r="C20" s="2"/>
      <c r="D20" s="3"/>
      <c r="E20" s="21">
        <f t="shared" ref="E20:F20" si="2">SUM(E16:E19)</f>
        <v>140000</v>
      </c>
      <c r="F20" s="21">
        <f t="shared" si="2"/>
        <v>140000</v>
      </c>
      <c r="G20" s="22">
        <v>0.0</v>
      </c>
      <c r="H20" s="23" t="s">
        <v>20</v>
      </c>
    </row>
    <row r="21" ht="15.0" customHeight="1">
      <c r="B21" s="20" t="s">
        <v>218</v>
      </c>
      <c r="C21" s="2"/>
      <c r="D21" s="3"/>
      <c r="E21" s="21"/>
      <c r="F21" s="21">
        <f>SUM(F20)</f>
        <v>140000</v>
      </c>
      <c r="G21" s="21"/>
    </row>
    <row r="23" ht="15.75" customHeight="1"/>
    <row r="24" ht="15.75" customHeight="1">
      <c r="B24" s="1" t="s">
        <v>0</v>
      </c>
      <c r="C24" s="2"/>
      <c r="D24" s="3"/>
      <c r="E24" s="28"/>
      <c r="F24" s="28"/>
      <c r="G24" s="28"/>
    </row>
    <row r="25" ht="15.75" customHeight="1">
      <c r="B25" s="6" t="s">
        <v>370</v>
      </c>
      <c r="C25" s="2"/>
      <c r="D25" s="3"/>
      <c r="E25" s="7"/>
      <c r="F25" s="7"/>
      <c r="G25" s="7"/>
    </row>
    <row r="26" ht="15.75" customHeight="1">
      <c r="B26" s="8" t="s">
        <v>101</v>
      </c>
      <c r="C26" s="2"/>
      <c r="D26" s="3"/>
      <c r="E26" s="9"/>
      <c r="F26" s="9"/>
      <c r="G26" s="9"/>
    </row>
    <row r="27" ht="15.75" customHeight="1">
      <c r="B27" s="47" t="s">
        <v>3</v>
      </c>
      <c r="C27" s="47" t="s">
        <v>4</v>
      </c>
      <c r="D27" s="47" t="s">
        <v>5</v>
      </c>
      <c r="E27" s="47" t="s">
        <v>6</v>
      </c>
      <c r="F27" s="47" t="s">
        <v>7</v>
      </c>
      <c r="G27" s="48" t="s">
        <v>8</v>
      </c>
    </row>
    <row r="28" ht="15.75" customHeight="1">
      <c r="B28" s="14" t="s">
        <v>102</v>
      </c>
      <c r="C28" s="15">
        <v>592.0</v>
      </c>
      <c r="D28" s="16" t="s">
        <v>373</v>
      </c>
      <c r="E28" s="17">
        <v>25000.0</v>
      </c>
      <c r="F28" s="17">
        <v>20000.0</v>
      </c>
      <c r="G28" s="36">
        <v>5000.0</v>
      </c>
    </row>
    <row r="29" ht="15.75" customHeight="1">
      <c r="B29" s="14" t="s">
        <v>102</v>
      </c>
      <c r="C29" s="15">
        <v>592.0</v>
      </c>
      <c r="D29" s="16" t="s">
        <v>373</v>
      </c>
      <c r="E29" s="17">
        <v>25000.0</v>
      </c>
      <c r="F29" s="17">
        <v>20000.0</v>
      </c>
      <c r="G29" s="36">
        <v>5000.0</v>
      </c>
    </row>
    <row r="30" ht="15.75" customHeight="1">
      <c r="B30" s="14" t="s">
        <v>336</v>
      </c>
      <c r="C30" s="15">
        <v>592.0</v>
      </c>
      <c r="D30" s="16" t="s">
        <v>373</v>
      </c>
      <c r="E30" s="17">
        <v>25000.0</v>
      </c>
      <c r="F30" s="17">
        <v>20000.0</v>
      </c>
      <c r="G30" s="36">
        <v>5000.0</v>
      </c>
    </row>
    <row r="31" ht="15.75" customHeight="1">
      <c r="B31" s="14" t="s">
        <v>106</v>
      </c>
      <c r="C31" s="15">
        <v>592.0</v>
      </c>
      <c r="D31" s="16" t="s">
        <v>373</v>
      </c>
      <c r="E31" s="17">
        <v>25000.0</v>
      </c>
      <c r="F31" s="17">
        <v>20000.0</v>
      </c>
      <c r="G31" s="36">
        <v>5000.0</v>
      </c>
    </row>
    <row r="32" ht="15.75" customHeight="1">
      <c r="B32" s="14" t="s">
        <v>202</v>
      </c>
      <c r="C32" s="15">
        <v>592.0</v>
      </c>
      <c r="D32" s="16" t="s">
        <v>373</v>
      </c>
      <c r="E32" s="17">
        <v>25000.0</v>
      </c>
      <c r="F32" s="17">
        <v>20000.0</v>
      </c>
      <c r="G32" s="36">
        <v>5000.0</v>
      </c>
    </row>
    <row r="33" ht="15.75" customHeight="1">
      <c r="B33" s="14" t="s">
        <v>205</v>
      </c>
      <c r="C33" s="15">
        <v>603.0</v>
      </c>
      <c r="D33" s="16" t="s">
        <v>374</v>
      </c>
      <c r="E33" s="17">
        <v>40000.0</v>
      </c>
      <c r="F33" s="17">
        <v>20000.0</v>
      </c>
      <c r="G33" s="36">
        <v>20000.0</v>
      </c>
    </row>
    <row r="34" ht="15.75" customHeight="1">
      <c r="B34" s="20" t="s">
        <v>19</v>
      </c>
      <c r="C34" s="2"/>
      <c r="D34" s="3"/>
      <c r="E34" s="21">
        <f t="shared" ref="E34:G34" si="3">SUM(E28:E33)</f>
        <v>165000</v>
      </c>
      <c r="F34" s="21">
        <f t="shared" si="3"/>
        <v>120000</v>
      </c>
      <c r="G34" s="22">
        <f t="shared" si="3"/>
        <v>45000</v>
      </c>
      <c r="H34" s="23" t="s">
        <v>20</v>
      </c>
    </row>
    <row r="35" ht="15.75" customHeight="1">
      <c r="B35" s="20" t="s">
        <v>218</v>
      </c>
      <c r="C35" s="2"/>
      <c r="D35" s="3"/>
      <c r="E35" s="21"/>
      <c r="F35" s="21">
        <f>SUM(F34)</f>
        <v>120000</v>
      </c>
      <c r="G35" s="21"/>
    </row>
    <row r="36" ht="15.75" customHeight="1"/>
    <row r="37" ht="15.75" customHeight="1"/>
    <row r="38" ht="15.75" customHeight="1">
      <c r="B38" s="1" t="s">
        <v>0</v>
      </c>
      <c r="C38" s="2"/>
      <c r="D38" s="3"/>
      <c r="E38" s="28"/>
      <c r="F38" s="28"/>
      <c r="G38" s="28"/>
    </row>
    <row r="39" ht="15.75" customHeight="1">
      <c r="B39" s="6" t="s">
        <v>370</v>
      </c>
      <c r="C39" s="2"/>
      <c r="D39" s="3"/>
      <c r="E39" s="7"/>
      <c r="F39" s="7"/>
      <c r="G39" s="7"/>
    </row>
    <row r="40" ht="15.75" customHeight="1">
      <c r="B40" s="8" t="s">
        <v>126</v>
      </c>
      <c r="C40" s="2"/>
      <c r="D40" s="3"/>
      <c r="E40" s="9"/>
      <c r="F40" s="9"/>
      <c r="G40" s="9"/>
    </row>
    <row r="41" ht="15.75" customHeight="1">
      <c r="B41" s="47" t="s">
        <v>3</v>
      </c>
      <c r="C41" s="47" t="s">
        <v>4</v>
      </c>
      <c r="D41" s="47" t="s">
        <v>5</v>
      </c>
      <c r="E41" s="47" t="s">
        <v>6</v>
      </c>
      <c r="F41" s="47" t="s">
        <v>7</v>
      </c>
      <c r="G41" s="48" t="s">
        <v>8</v>
      </c>
    </row>
    <row r="42" ht="15.75" customHeight="1">
      <c r="B42" s="14" t="s">
        <v>131</v>
      </c>
      <c r="C42" s="15">
        <v>601.0</v>
      </c>
      <c r="D42" s="16" t="s">
        <v>375</v>
      </c>
      <c r="E42" s="17">
        <v>20000.0</v>
      </c>
      <c r="F42" s="17">
        <v>10000.0</v>
      </c>
      <c r="G42" s="36">
        <v>10000.0</v>
      </c>
    </row>
    <row r="43" ht="15.75" customHeight="1">
      <c r="B43" s="14" t="s">
        <v>131</v>
      </c>
      <c r="C43" s="15">
        <v>598.0</v>
      </c>
      <c r="D43" s="16" t="s">
        <v>373</v>
      </c>
      <c r="E43" s="17">
        <v>30000.0</v>
      </c>
      <c r="F43" s="17">
        <v>20000.0</v>
      </c>
      <c r="G43" s="36">
        <v>10000.0</v>
      </c>
    </row>
    <row r="44" ht="15.75" customHeight="1">
      <c r="B44" s="14" t="s">
        <v>139</v>
      </c>
      <c r="C44" s="15">
        <v>590.0</v>
      </c>
      <c r="D44" s="16" t="s">
        <v>376</v>
      </c>
      <c r="E44" s="17">
        <v>10000.0</v>
      </c>
      <c r="F44" s="17">
        <v>5000.0</v>
      </c>
      <c r="G44" s="36">
        <v>5000.0</v>
      </c>
    </row>
    <row r="45" ht="15.75" customHeight="1">
      <c r="B45" s="14" t="s">
        <v>140</v>
      </c>
      <c r="C45" s="15">
        <v>598.0</v>
      </c>
      <c r="D45" s="16" t="s">
        <v>373</v>
      </c>
      <c r="E45" s="17">
        <v>30000.0</v>
      </c>
      <c r="F45" s="17">
        <v>20000.0</v>
      </c>
      <c r="G45" s="36">
        <v>10000.0</v>
      </c>
    </row>
    <row r="46" ht="15.75" customHeight="1">
      <c r="B46" s="14" t="s">
        <v>142</v>
      </c>
      <c r="C46" s="15">
        <v>598.0</v>
      </c>
      <c r="D46" s="16" t="s">
        <v>373</v>
      </c>
      <c r="E46" s="17">
        <v>30000.0</v>
      </c>
      <c r="F46" s="17">
        <v>20000.0</v>
      </c>
      <c r="G46" s="36">
        <v>10000.0</v>
      </c>
    </row>
    <row r="47" ht="15.75" customHeight="1">
      <c r="B47" s="14" t="s">
        <v>142</v>
      </c>
      <c r="C47" s="15">
        <v>598.0</v>
      </c>
      <c r="D47" s="16" t="s">
        <v>373</v>
      </c>
      <c r="E47" s="17">
        <v>30000.0</v>
      </c>
      <c r="F47" s="17">
        <v>20000.0</v>
      </c>
      <c r="G47" s="36">
        <v>10000.0</v>
      </c>
    </row>
    <row r="48" ht="15.75" customHeight="1">
      <c r="B48" s="14" t="s">
        <v>247</v>
      </c>
      <c r="C48" s="15">
        <v>598.0</v>
      </c>
      <c r="D48" s="16" t="s">
        <v>373</v>
      </c>
      <c r="E48" s="17">
        <v>30000.0</v>
      </c>
      <c r="F48" s="17">
        <v>20000.0</v>
      </c>
      <c r="G48" s="36">
        <v>10000.0</v>
      </c>
    </row>
    <row r="49" ht="15.75" customHeight="1">
      <c r="B49" s="14" t="s">
        <v>143</v>
      </c>
      <c r="C49" s="15">
        <v>598.0</v>
      </c>
      <c r="D49" s="16" t="s">
        <v>373</v>
      </c>
      <c r="E49" s="17">
        <v>30000.0</v>
      </c>
      <c r="F49" s="17">
        <v>20000.0</v>
      </c>
      <c r="G49" s="36">
        <v>10000.0</v>
      </c>
    </row>
    <row r="50" ht="15.75" customHeight="1">
      <c r="B50" s="14" t="s">
        <v>153</v>
      </c>
      <c r="C50" s="15">
        <v>598.0</v>
      </c>
      <c r="D50" s="16" t="s">
        <v>373</v>
      </c>
      <c r="E50" s="17">
        <v>30000.0</v>
      </c>
      <c r="F50" s="17">
        <v>20000.0</v>
      </c>
      <c r="G50" s="36">
        <v>10000.0</v>
      </c>
    </row>
    <row r="51" ht="15.75" customHeight="1">
      <c r="B51" s="20" t="s">
        <v>19</v>
      </c>
      <c r="C51" s="2"/>
      <c r="D51" s="3"/>
      <c r="E51" s="21">
        <f t="shared" ref="E51:G51" si="4">SUM(E42:E50)</f>
        <v>240000</v>
      </c>
      <c r="F51" s="21">
        <f t="shared" si="4"/>
        <v>155000</v>
      </c>
      <c r="G51" s="22">
        <f t="shared" si="4"/>
        <v>85000</v>
      </c>
      <c r="H51" s="23" t="s">
        <v>20</v>
      </c>
    </row>
    <row r="52" ht="15.75" customHeight="1">
      <c r="B52" s="20" t="s">
        <v>218</v>
      </c>
      <c r="C52" s="2"/>
      <c r="D52" s="3"/>
      <c r="E52" s="21"/>
      <c r="F52" s="21">
        <f>SUM(F51)</f>
        <v>155000</v>
      </c>
      <c r="G52" s="21"/>
    </row>
    <row r="53" ht="15.75" customHeight="1"/>
    <row r="54" ht="15.75" customHeight="1"/>
    <row r="55" ht="15.75" customHeight="1">
      <c r="B55" s="1" t="s">
        <v>0</v>
      </c>
      <c r="C55" s="2"/>
      <c r="D55" s="3"/>
      <c r="E55" s="28"/>
      <c r="F55" s="28"/>
      <c r="G55" s="28"/>
    </row>
    <row r="56" ht="15.75" customHeight="1">
      <c r="B56" s="6" t="s">
        <v>370</v>
      </c>
      <c r="C56" s="2"/>
      <c r="D56" s="3"/>
      <c r="E56" s="7"/>
      <c r="F56" s="7"/>
      <c r="G56" s="7"/>
    </row>
    <row r="57" ht="15.75" customHeight="1">
      <c r="B57" s="8" t="s">
        <v>157</v>
      </c>
      <c r="C57" s="2"/>
      <c r="D57" s="3"/>
      <c r="E57" s="9"/>
      <c r="F57" s="9"/>
      <c r="G57" s="9"/>
    </row>
    <row r="58" ht="15.75" customHeight="1">
      <c r="B58" s="47" t="s">
        <v>3</v>
      </c>
      <c r="C58" s="47" t="s">
        <v>4</v>
      </c>
      <c r="D58" s="47" t="s">
        <v>5</v>
      </c>
      <c r="E58" s="47" t="s">
        <v>6</v>
      </c>
      <c r="F58" s="47" t="s">
        <v>7</v>
      </c>
      <c r="G58" s="48" t="s">
        <v>8</v>
      </c>
    </row>
    <row r="59" ht="15.75" customHeight="1">
      <c r="B59" s="14" t="s">
        <v>164</v>
      </c>
      <c r="C59" s="15">
        <v>598.0</v>
      </c>
      <c r="D59" s="16" t="s">
        <v>373</v>
      </c>
      <c r="E59" s="17">
        <v>30000.0</v>
      </c>
      <c r="F59" s="17">
        <v>20000.0</v>
      </c>
      <c r="G59" s="36">
        <v>10000.0</v>
      </c>
    </row>
    <row r="60" ht="15.75" customHeight="1">
      <c r="B60" s="20" t="s">
        <v>19</v>
      </c>
      <c r="C60" s="2"/>
      <c r="D60" s="3"/>
      <c r="E60" s="21">
        <f t="shared" ref="E60:G60" si="5">SUM(E59)</f>
        <v>30000</v>
      </c>
      <c r="F60" s="21">
        <f t="shared" si="5"/>
        <v>20000</v>
      </c>
      <c r="G60" s="22">
        <f t="shared" si="5"/>
        <v>10000</v>
      </c>
      <c r="H60" s="23" t="s">
        <v>20</v>
      </c>
    </row>
    <row r="61" ht="15.75" customHeight="1">
      <c r="B61" s="20" t="s">
        <v>218</v>
      </c>
      <c r="C61" s="2"/>
      <c r="D61" s="3"/>
      <c r="E61" s="21"/>
      <c r="F61" s="21">
        <f>SUM(F60)</f>
        <v>20000</v>
      </c>
      <c r="G61" s="21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0">
    <mergeCell ref="B2:D2"/>
    <mergeCell ref="E2:E4"/>
    <mergeCell ref="F2:F4"/>
    <mergeCell ref="G2:G4"/>
    <mergeCell ref="B3:D3"/>
    <mergeCell ref="B4:D4"/>
    <mergeCell ref="B8:D8"/>
    <mergeCell ref="B9:D9"/>
    <mergeCell ref="B12:D12"/>
    <mergeCell ref="E12:E14"/>
    <mergeCell ref="F12:F14"/>
    <mergeCell ref="G12:G14"/>
    <mergeCell ref="B13:D13"/>
    <mergeCell ref="B14:D14"/>
    <mergeCell ref="B20:D20"/>
    <mergeCell ref="B21:D21"/>
    <mergeCell ref="B24:D24"/>
    <mergeCell ref="E24:E26"/>
    <mergeCell ref="F24:F26"/>
    <mergeCell ref="G24:G26"/>
    <mergeCell ref="B25:D25"/>
    <mergeCell ref="B26:D26"/>
    <mergeCell ref="B34:D34"/>
    <mergeCell ref="B35:D35"/>
    <mergeCell ref="B38:D38"/>
    <mergeCell ref="E38:E40"/>
    <mergeCell ref="F38:F40"/>
    <mergeCell ref="G38:G40"/>
    <mergeCell ref="B55:D55"/>
    <mergeCell ref="B56:D56"/>
    <mergeCell ref="B60:D60"/>
    <mergeCell ref="B61:D61"/>
    <mergeCell ref="B39:D39"/>
    <mergeCell ref="B40:D40"/>
    <mergeCell ref="B51:D51"/>
    <mergeCell ref="B52:D52"/>
    <mergeCell ref="E55:E57"/>
    <mergeCell ref="F55:F57"/>
    <mergeCell ref="G55:G57"/>
    <mergeCell ref="B57:D5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2.86"/>
    <col customWidth="1" min="3" max="3" width="9.57"/>
    <col customWidth="1" min="4" max="4" width="23.14"/>
    <col customWidth="1" min="5" max="5" width="15.86"/>
    <col customWidth="1" min="6" max="6" width="20.57"/>
    <col customWidth="1" min="7" max="7" width="22.86"/>
    <col customWidth="1" min="8" max="8" width="18.29"/>
    <col customWidth="1" min="9" max="26" width="10.71"/>
  </cols>
  <sheetData>
    <row r="2">
      <c r="B2" s="1" t="s">
        <v>0</v>
      </c>
      <c r="C2" s="2"/>
      <c r="D2" s="3"/>
      <c r="E2" s="4"/>
      <c r="F2" s="4"/>
      <c r="G2" s="4"/>
    </row>
    <row r="3">
      <c r="B3" s="6" t="s">
        <v>377</v>
      </c>
      <c r="C3" s="2"/>
      <c r="D3" s="3"/>
      <c r="E3" s="7"/>
      <c r="F3" s="7"/>
      <c r="G3" s="7"/>
    </row>
    <row r="4">
      <c r="B4" s="8" t="s">
        <v>22</v>
      </c>
      <c r="C4" s="2"/>
      <c r="D4" s="3"/>
      <c r="E4" s="9"/>
      <c r="F4" s="9"/>
      <c r="G4" s="9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</row>
    <row r="6">
      <c r="B6" s="14" t="s">
        <v>25</v>
      </c>
      <c r="C6" s="15">
        <v>705.0</v>
      </c>
      <c r="D6" s="16" t="s">
        <v>378</v>
      </c>
      <c r="E6" s="17">
        <v>56000.0</v>
      </c>
      <c r="F6" s="17">
        <v>32000.0</v>
      </c>
      <c r="G6" s="17">
        <v>24000.0</v>
      </c>
    </row>
    <row r="7">
      <c r="B7" s="14" t="s">
        <v>42</v>
      </c>
      <c r="C7" s="15">
        <v>695.0</v>
      </c>
      <c r="D7" s="16" t="s">
        <v>379</v>
      </c>
      <c r="E7" s="17">
        <v>43750.0</v>
      </c>
      <c r="F7" s="17">
        <v>25000.0</v>
      </c>
      <c r="G7" s="17">
        <v>18750.0</v>
      </c>
    </row>
    <row r="8">
      <c r="B8" s="14" t="s">
        <v>47</v>
      </c>
      <c r="C8" s="15">
        <v>694.0</v>
      </c>
      <c r="D8" s="16" t="s">
        <v>380</v>
      </c>
      <c r="E8" s="17">
        <v>17500.0</v>
      </c>
      <c r="F8" s="17">
        <v>10000.0</v>
      </c>
      <c r="G8" s="17">
        <v>7500.0</v>
      </c>
    </row>
    <row r="9">
      <c r="B9" s="14" t="s">
        <v>192</v>
      </c>
      <c r="C9" s="15">
        <v>699.0</v>
      </c>
      <c r="D9" s="16" t="s">
        <v>381</v>
      </c>
      <c r="E9" s="17">
        <v>38600.0</v>
      </c>
      <c r="F9" s="17">
        <v>22000.0</v>
      </c>
      <c r="G9" s="17">
        <v>16500.0</v>
      </c>
    </row>
    <row r="10">
      <c r="B10" s="14" t="s">
        <v>60</v>
      </c>
      <c r="C10" s="15">
        <v>700.0</v>
      </c>
      <c r="D10" s="16" t="s">
        <v>382</v>
      </c>
      <c r="E10" s="17">
        <v>17500.0</v>
      </c>
      <c r="F10" s="17">
        <v>10000.0</v>
      </c>
      <c r="G10" s="17">
        <v>7500.0</v>
      </c>
    </row>
    <row r="11">
      <c r="B11" s="14" t="s">
        <v>60</v>
      </c>
      <c r="C11" s="15">
        <v>700.0</v>
      </c>
      <c r="D11" s="16" t="s">
        <v>382</v>
      </c>
      <c r="E11" s="17">
        <v>17500.0</v>
      </c>
      <c r="F11" s="17">
        <v>10000.0</v>
      </c>
      <c r="G11" s="17">
        <v>7500.0</v>
      </c>
    </row>
    <row r="12">
      <c r="B12" s="20" t="s">
        <v>19</v>
      </c>
      <c r="C12" s="2"/>
      <c r="D12" s="3"/>
      <c r="E12" s="21">
        <f t="shared" ref="E12:G12" si="1">SUM(E6:E11)</f>
        <v>190850</v>
      </c>
      <c r="F12" s="21">
        <f t="shared" si="1"/>
        <v>109000</v>
      </c>
      <c r="G12" s="22">
        <f t="shared" si="1"/>
        <v>81750</v>
      </c>
      <c r="H12" s="23" t="s">
        <v>20</v>
      </c>
    </row>
    <row r="13">
      <c r="B13" s="20" t="s">
        <v>218</v>
      </c>
      <c r="C13" s="2"/>
      <c r="D13" s="3"/>
      <c r="E13" s="21"/>
      <c r="F13" s="21">
        <f>SUM(F12)</f>
        <v>109000</v>
      </c>
      <c r="G13" s="21"/>
    </row>
    <row r="14">
      <c r="B14" s="10"/>
      <c r="C14" s="10"/>
      <c r="D14" s="10"/>
    </row>
    <row r="15">
      <c r="B15" s="13"/>
      <c r="C15" s="13"/>
      <c r="D15" s="13"/>
    </row>
    <row r="16">
      <c r="B16" s="1" t="s">
        <v>0</v>
      </c>
      <c r="C16" s="2"/>
      <c r="D16" s="3"/>
      <c r="E16" s="4"/>
      <c r="F16" s="4"/>
      <c r="G16" s="4"/>
    </row>
    <row r="17">
      <c r="B17" s="6" t="s">
        <v>377</v>
      </c>
      <c r="C17" s="2"/>
      <c r="D17" s="3"/>
      <c r="E17" s="7"/>
      <c r="F17" s="7"/>
      <c r="G17" s="7"/>
    </row>
    <row r="18">
      <c r="B18" s="8" t="s">
        <v>64</v>
      </c>
      <c r="C18" s="2"/>
      <c r="D18" s="3"/>
      <c r="E18" s="9"/>
      <c r="F18" s="9"/>
      <c r="G18" s="9"/>
    </row>
    <row r="19">
      <c r="B19" s="11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G19" s="12" t="s">
        <v>8</v>
      </c>
    </row>
    <row r="20">
      <c r="B20" s="14" t="s">
        <v>83</v>
      </c>
      <c r="C20" s="15">
        <v>700.0</v>
      </c>
      <c r="D20" s="16" t="s">
        <v>382</v>
      </c>
      <c r="E20" s="17">
        <v>17500.0</v>
      </c>
      <c r="F20" s="17">
        <v>10000.0</v>
      </c>
      <c r="G20" s="17">
        <v>7500.0</v>
      </c>
    </row>
    <row r="21">
      <c r="B21" s="20" t="s">
        <v>216</v>
      </c>
      <c r="C21" s="2"/>
      <c r="D21" s="3"/>
      <c r="E21" s="21">
        <f>SUM(E20)</f>
        <v>17500</v>
      </c>
      <c r="F21" s="21">
        <f>SUM(F15:F20)</f>
        <v>10000</v>
      </c>
      <c r="G21" s="22">
        <f>SUM(G20)</f>
        <v>7500</v>
      </c>
      <c r="H21" s="23" t="s">
        <v>20</v>
      </c>
    </row>
    <row r="22" ht="15.75" customHeight="1">
      <c r="B22" s="20" t="s">
        <v>218</v>
      </c>
      <c r="C22" s="2"/>
      <c r="D22" s="3"/>
      <c r="E22" s="21"/>
      <c r="F22" s="21">
        <f>SUM(F21)</f>
        <v>10000</v>
      </c>
      <c r="G22" s="21"/>
    </row>
    <row r="23" ht="15.75" customHeight="1">
      <c r="B23" s="10"/>
      <c r="C23" s="10"/>
      <c r="D23" s="10"/>
    </row>
    <row r="24" ht="15.75" customHeight="1">
      <c r="B24" s="13"/>
      <c r="C24" s="13"/>
      <c r="D24" s="13"/>
    </row>
    <row r="25" ht="15.75" customHeight="1">
      <c r="B25" s="1" t="s">
        <v>0</v>
      </c>
      <c r="C25" s="2"/>
      <c r="D25" s="3"/>
      <c r="E25" s="28"/>
      <c r="F25" s="28"/>
      <c r="G25" s="28"/>
    </row>
    <row r="26" ht="15.75" customHeight="1">
      <c r="B26" s="6" t="s">
        <v>377</v>
      </c>
      <c r="C26" s="2"/>
      <c r="D26" s="3"/>
      <c r="E26" s="7"/>
      <c r="F26" s="7"/>
      <c r="G26" s="7"/>
    </row>
    <row r="27" ht="15.75" customHeight="1">
      <c r="B27" s="8" t="s">
        <v>101</v>
      </c>
      <c r="C27" s="2"/>
      <c r="D27" s="3"/>
      <c r="E27" s="9"/>
      <c r="F27" s="9"/>
      <c r="G27" s="9"/>
    </row>
    <row r="28" ht="15.75" customHeight="1">
      <c r="B28" s="47" t="s">
        <v>3</v>
      </c>
      <c r="C28" s="47" t="s">
        <v>4</v>
      </c>
      <c r="D28" s="47" t="s">
        <v>5</v>
      </c>
      <c r="E28" s="47" t="s">
        <v>6</v>
      </c>
      <c r="F28" s="47" t="s">
        <v>7</v>
      </c>
      <c r="G28" s="48" t="s">
        <v>8</v>
      </c>
    </row>
    <row r="29" ht="15.75" customHeight="1">
      <c r="B29" s="14" t="s">
        <v>202</v>
      </c>
      <c r="C29" s="15">
        <v>700.0</v>
      </c>
      <c r="D29" s="16" t="s">
        <v>382</v>
      </c>
      <c r="E29" s="17">
        <v>17500.0</v>
      </c>
      <c r="F29" s="17">
        <v>10000.0</v>
      </c>
      <c r="G29" s="17">
        <v>7500.0</v>
      </c>
    </row>
    <row r="30" ht="15.75" customHeight="1">
      <c r="B30" s="20" t="s">
        <v>19</v>
      </c>
      <c r="C30" s="2"/>
      <c r="D30" s="3"/>
      <c r="E30" s="21">
        <f>SUM(E29)</f>
        <v>17500</v>
      </c>
      <c r="F30" s="21">
        <f>SUM(F24:F29)</f>
        <v>10000</v>
      </c>
      <c r="G30" s="22">
        <f>SUM(G29)</f>
        <v>7500</v>
      </c>
      <c r="H30" s="23" t="s">
        <v>20</v>
      </c>
    </row>
    <row r="31" ht="15.75" customHeight="1">
      <c r="B31" s="20" t="s">
        <v>218</v>
      </c>
      <c r="C31" s="2"/>
      <c r="D31" s="3"/>
      <c r="E31" s="21"/>
      <c r="F31" s="21">
        <f>SUM(F30)</f>
        <v>10000</v>
      </c>
      <c r="G31" s="21"/>
    </row>
    <row r="32" ht="15.75" customHeight="1">
      <c r="B32" s="5"/>
      <c r="C32" s="5"/>
      <c r="D32" s="5"/>
    </row>
    <row r="33" ht="15.75" customHeight="1">
      <c r="B33" s="5"/>
      <c r="C33" s="5"/>
      <c r="D33" s="5"/>
    </row>
    <row r="34" ht="15.75" customHeight="1">
      <c r="B34" s="1" t="s">
        <v>0</v>
      </c>
      <c r="C34" s="2"/>
      <c r="D34" s="3"/>
      <c r="E34" s="28"/>
      <c r="F34" s="28"/>
      <c r="G34" s="28"/>
    </row>
    <row r="35" ht="15.75" customHeight="1">
      <c r="B35" s="6" t="s">
        <v>377</v>
      </c>
      <c r="C35" s="2"/>
      <c r="D35" s="3"/>
      <c r="E35" s="7"/>
      <c r="F35" s="7"/>
      <c r="G35" s="7"/>
    </row>
    <row r="36" ht="15.75" customHeight="1">
      <c r="B36" s="8" t="s">
        <v>126</v>
      </c>
      <c r="C36" s="2"/>
      <c r="D36" s="3"/>
      <c r="E36" s="9"/>
      <c r="F36" s="9"/>
      <c r="G36" s="9"/>
    </row>
    <row r="37" ht="15.75" customHeight="1">
      <c r="B37" s="47" t="s">
        <v>3</v>
      </c>
      <c r="C37" s="47" t="s">
        <v>4</v>
      </c>
      <c r="D37" s="47" t="s">
        <v>5</v>
      </c>
      <c r="E37" s="47" t="s">
        <v>6</v>
      </c>
      <c r="F37" s="47" t="s">
        <v>7</v>
      </c>
      <c r="G37" s="48" t="s">
        <v>8</v>
      </c>
    </row>
    <row r="38" ht="15.75" customHeight="1">
      <c r="B38" s="14" t="s">
        <v>129</v>
      </c>
      <c r="C38" s="15">
        <v>696.0</v>
      </c>
      <c r="D38" s="16" t="s">
        <v>383</v>
      </c>
      <c r="E38" s="17">
        <v>52500.0</v>
      </c>
      <c r="F38" s="17">
        <v>30000.0</v>
      </c>
      <c r="G38" s="17">
        <v>22500.0</v>
      </c>
    </row>
    <row r="39" ht="15.75" customHeight="1">
      <c r="B39" s="14" t="s">
        <v>139</v>
      </c>
      <c r="C39" s="15">
        <v>700.0</v>
      </c>
      <c r="D39" s="16" t="s">
        <v>382</v>
      </c>
      <c r="E39" s="17">
        <v>17500.0</v>
      </c>
      <c r="F39" s="17">
        <v>10000.0</v>
      </c>
      <c r="G39" s="17">
        <v>7500.0</v>
      </c>
    </row>
    <row r="40" ht="15.75" customHeight="1">
      <c r="B40" s="14" t="s">
        <v>140</v>
      </c>
      <c r="C40" s="15">
        <v>696.0</v>
      </c>
      <c r="D40" s="16" t="s">
        <v>383</v>
      </c>
      <c r="E40" s="17">
        <v>52500.0</v>
      </c>
      <c r="F40" s="17">
        <v>30000.0</v>
      </c>
      <c r="G40" s="17">
        <v>22500.0</v>
      </c>
    </row>
    <row r="41" ht="15.75" customHeight="1">
      <c r="B41" s="14" t="s">
        <v>154</v>
      </c>
      <c r="C41" s="15">
        <v>696.0</v>
      </c>
      <c r="D41" s="16" t="s">
        <v>383</v>
      </c>
      <c r="E41" s="17">
        <v>52500.0</v>
      </c>
      <c r="F41" s="17">
        <v>30000.0</v>
      </c>
      <c r="G41" s="17">
        <v>22500.0</v>
      </c>
    </row>
    <row r="42" ht="15.75" customHeight="1">
      <c r="B42" s="20" t="s">
        <v>19</v>
      </c>
      <c r="C42" s="2"/>
      <c r="D42" s="3"/>
      <c r="E42" s="21">
        <f t="shared" ref="E42:G42" si="2">SUM(E38:E41)</f>
        <v>175000</v>
      </c>
      <c r="F42" s="21">
        <f t="shared" si="2"/>
        <v>100000</v>
      </c>
      <c r="G42" s="22">
        <f t="shared" si="2"/>
        <v>75000</v>
      </c>
      <c r="H42" s="23" t="s">
        <v>20</v>
      </c>
    </row>
    <row r="43" ht="15.75" customHeight="1">
      <c r="B43" s="20" t="s">
        <v>218</v>
      </c>
      <c r="C43" s="2"/>
      <c r="D43" s="3"/>
      <c r="E43" s="21"/>
      <c r="F43" s="21">
        <f>SUM(F42)</f>
        <v>100000</v>
      </c>
      <c r="G43" s="21"/>
    </row>
    <row r="44" ht="15.75" customHeight="1">
      <c r="B44" s="5"/>
      <c r="C44" s="5"/>
      <c r="D44" s="5"/>
    </row>
    <row r="45" ht="15.75" customHeight="1">
      <c r="B45" s="10"/>
      <c r="C45" s="10"/>
      <c r="D45" s="10"/>
    </row>
    <row r="46" ht="15.75" customHeight="1">
      <c r="B46" s="13"/>
      <c r="C46" s="13"/>
      <c r="D46" s="13"/>
    </row>
    <row r="47" ht="15.75" customHeight="1">
      <c r="B47" s="19"/>
      <c r="D47" s="18"/>
    </row>
    <row r="48" ht="15.75" customHeight="1">
      <c r="B48" s="5"/>
      <c r="C48" s="5"/>
      <c r="D48" s="31"/>
    </row>
    <row r="49" ht="15.75" customHeight="1"/>
    <row r="50" ht="15.75" customHeight="1"/>
    <row r="51" ht="15.75" customHeight="1">
      <c r="B51" s="5"/>
      <c r="C51" s="5"/>
      <c r="D51" s="5"/>
    </row>
    <row r="52" ht="15.75" customHeight="1">
      <c r="B52" s="5"/>
      <c r="C52" s="5"/>
      <c r="D52" s="5"/>
    </row>
    <row r="53" ht="15.75" customHeight="1">
      <c r="B53" s="10"/>
      <c r="C53" s="10"/>
      <c r="D53" s="10"/>
    </row>
    <row r="54" ht="15.75" customHeight="1">
      <c r="B54" s="13"/>
      <c r="C54" s="13"/>
      <c r="D54" s="13"/>
    </row>
    <row r="55" ht="15.75" customHeight="1">
      <c r="B55" s="19"/>
      <c r="D55" s="18"/>
    </row>
    <row r="56" ht="15.75" customHeight="1">
      <c r="B56" s="5"/>
      <c r="C56" s="5"/>
      <c r="D56" s="31"/>
    </row>
    <row r="57" ht="15.75" customHeight="1"/>
    <row r="58" ht="15.75" customHeight="1"/>
    <row r="59" ht="15.75" customHeight="1">
      <c r="B59" s="5"/>
      <c r="C59" s="5"/>
      <c r="D59" s="5"/>
    </row>
    <row r="60" ht="15.75" customHeight="1">
      <c r="B60" s="5"/>
      <c r="C60" s="5"/>
      <c r="D60" s="5"/>
    </row>
    <row r="61" ht="15.75" customHeight="1">
      <c r="B61" s="10"/>
      <c r="C61" s="10"/>
      <c r="D61" s="10"/>
    </row>
    <row r="62" ht="15.75" customHeight="1">
      <c r="B62" s="13"/>
      <c r="C62" s="13"/>
      <c r="D62" s="13"/>
    </row>
    <row r="63" ht="15.75" customHeight="1">
      <c r="B63" s="19"/>
      <c r="D63" s="18"/>
    </row>
    <row r="64" ht="15.75" customHeight="1">
      <c r="B64" s="19"/>
      <c r="D64" s="18"/>
    </row>
    <row r="65" ht="15.75" customHeight="1">
      <c r="B65" s="19"/>
      <c r="D65" s="18"/>
    </row>
    <row r="66" ht="15.75" customHeight="1">
      <c r="B66" s="19"/>
      <c r="D66" s="18"/>
    </row>
    <row r="67" ht="15.75" customHeight="1">
      <c r="B67" s="19"/>
      <c r="D67" s="18"/>
    </row>
    <row r="68" ht="15.75" customHeight="1">
      <c r="B68" s="19"/>
      <c r="D68" s="18"/>
    </row>
    <row r="69" ht="15.75" customHeight="1">
      <c r="B69" s="19"/>
      <c r="D69" s="18"/>
    </row>
    <row r="70" ht="15.75" customHeight="1">
      <c r="B70" s="19"/>
      <c r="D70" s="18"/>
    </row>
    <row r="71" ht="15.75" customHeight="1">
      <c r="B71" s="19"/>
      <c r="D71" s="18"/>
    </row>
    <row r="72" ht="15.75" customHeight="1">
      <c r="B72" s="19"/>
      <c r="D72" s="18"/>
    </row>
    <row r="73" ht="15.75" customHeight="1">
      <c r="B73" s="5"/>
      <c r="C73" s="5"/>
      <c r="D73" s="3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2">
    <mergeCell ref="B2:D2"/>
    <mergeCell ref="E2:E4"/>
    <mergeCell ref="F2:F4"/>
    <mergeCell ref="G2:G4"/>
    <mergeCell ref="B3:D3"/>
    <mergeCell ref="B4:D4"/>
    <mergeCell ref="B12:D12"/>
    <mergeCell ref="B13:D13"/>
    <mergeCell ref="B16:D16"/>
    <mergeCell ref="E16:E18"/>
    <mergeCell ref="F16:F18"/>
    <mergeCell ref="G16:G18"/>
    <mergeCell ref="B17:D17"/>
    <mergeCell ref="B18:D18"/>
    <mergeCell ref="B21:D21"/>
    <mergeCell ref="B22:D22"/>
    <mergeCell ref="B25:D25"/>
    <mergeCell ref="E25:E27"/>
    <mergeCell ref="F25:F27"/>
    <mergeCell ref="G25:G27"/>
    <mergeCell ref="B26:D26"/>
    <mergeCell ref="B35:D35"/>
    <mergeCell ref="B36:D36"/>
    <mergeCell ref="B42:D42"/>
    <mergeCell ref="B43:D43"/>
    <mergeCell ref="B27:D27"/>
    <mergeCell ref="B30:D30"/>
    <mergeCell ref="B31:D31"/>
    <mergeCell ref="B34:D34"/>
    <mergeCell ref="E34:E36"/>
    <mergeCell ref="F34:F36"/>
    <mergeCell ref="G34:G3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14.29"/>
    <col customWidth="1" min="3" max="3" width="10.29"/>
    <col customWidth="1" min="4" max="4" width="24.14"/>
    <col customWidth="1" min="5" max="5" width="13.86"/>
    <col customWidth="1" min="6" max="6" width="20.57"/>
    <col customWidth="1" min="7" max="7" width="24.14"/>
    <col customWidth="1" min="8" max="8" width="18.29"/>
    <col customWidth="1" min="9" max="26" width="10.71"/>
  </cols>
  <sheetData>
    <row r="2">
      <c r="B2" s="5"/>
      <c r="C2" s="5"/>
      <c r="D2" s="5"/>
    </row>
    <row r="3">
      <c r="B3" s="1" t="s">
        <v>0</v>
      </c>
      <c r="C3" s="2"/>
      <c r="D3" s="3"/>
      <c r="E3" s="4"/>
      <c r="F3" s="4"/>
      <c r="G3" s="4"/>
    </row>
    <row r="4">
      <c r="B4" s="6" t="s">
        <v>384</v>
      </c>
      <c r="C4" s="2"/>
      <c r="D4" s="3"/>
      <c r="E4" s="7"/>
      <c r="F4" s="7"/>
      <c r="G4" s="7"/>
    </row>
    <row r="5">
      <c r="B5" s="8" t="s">
        <v>22</v>
      </c>
      <c r="C5" s="2"/>
      <c r="D5" s="3"/>
      <c r="E5" s="9"/>
      <c r="F5" s="9"/>
      <c r="G5" s="9"/>
    </row>
    <row r="6">
      <c r="B6" s="11" t="s">
        <v>3</v>
      </c>
      <c r="C6" s="11" t="s">
        <v>4</v>
      </c>
      <c r="D6" s="11" t="s">
        <v>5</v>
      </c>
      <c r="E6" s="11" t="s">
        <v>6</v>
      </c>
      <c r="F6" s="11" t="s">
        <v>7</v>
      </c>
      <c r="G6" s="12" t="s">
        <v>8</v>
      </c>
    </row>
    <row r="7">
      <c r="B7" s="14" t="s">
        <v>60</v>
      </c>
      <c r="C7" s="15">
        <v>510.0</v>
      </c>
      <c r="D7" s="16" t="s">
        <v>385</v>
      </c>
      <c r="E7" s="17">
        <v>65000.0</v>
      </c>
      <c r="F7" s="17">
        <v>48750.0</v>
      </c>
      <c r="G7" s="17">
        <v>16250.0</v>
      </c>
    </row>
    <row r="8">
      <c r="B8" s="20" t="s">
        <v>216</v>
      </c>
      <c r="C8" s="2"/>
      <c r="D8" s="3"/>
      <c r="E8" s="21">
        <f>SUM(E7)</f>
        <v>65000</v>
      </c>
      <c r="F8" s="21">
        <f>SUM(F2:F7)</f>
        <v>48750</v>
      </c>
      <c r="G8" s="22">
        <f>SUM(G7)</f>
        <v>16250</v>
      </c>
      <c r="H8" s="23" t="s">
        <v>20</v>
      </c>
    </row>
    <row r="9" ht="15.0" customHeight="1">
      <c r="B9" s="20" t="s">
        <v>218</v>
      </c>
      <c r="C9" s="2"/>
      <c r="D9" s="3"/>
      <c r="E9" s="21"/>
      <c r="F9" s="21">
        <f>SUM(F8)</f>
        <v>48750</v>
      </c>
      <c r="G9" s="21"/>
    </row>
    <row r="11">
      <c r="B11" s="5"/>
      <c r="C11" s="5"/>
      <c r="D11" s="5"/>
    </row>
    <row r="12">
      <c r="B12" s="1" t="s">
        <v>0</v>
      </c>
      <c r="C12" s="2"/>
      <c r="D12" s="3"/>
      <c r="E12" s="4"/>
      <c r="F12" s="4"/>
      <c r="G12" s="4"/>
    </row>
    <row r="13">
      <c r="B13" s="6" t="s">
        <v>384</v>
      </c>
      <c r="C13" s="2"/>
      <c r="D13" s="3"/>
      <c r="E13" s="7"/>
      <c r="F13" s="7"/>
      <c r="G13" s="7"/>
    </row>
    <row r="14">
      <c r="B14" s="8" t="s">
        <v>64</v>
      </c>
      <c r="C14" s="2"/>
      <c r="D14" s="3"/>
      <c r="E14" s="9"/>
      <c r="F14" s="9"/>
      <c r="G14" s="9"/>
    </row>
    <row r="15">
      <c r="B15" s="11" t="s">
        <v>3</v>
      </c>
      <c r="C15" s="11" t="s">
        <v>4</v>
      </c>
      <c r="D15" s="11" t="s">
        <v>5</v>
      </c>
      <c r="E15" s="11" t="s">
        <v>6</v>
      </c>
      <c r="F15" s="11" t="s">
        <v>7</v>
      </c>
      <c r="G15" s="12" t="s">
        <v>8</v>
      </c>
    </row>
    <row r="16">
      <c r="B16" s="14" t="s">
        <v>65</v>
      </c>
      <c r="C16" s="15">
        <v>511.0</v>
      </c>
      <c r="D16" s="16" t="s">
        <v>386</v>
      </c>
      <c r="E16" s="17">
        <v>70000.0</v>
      </c>
      <c r="F16" s="17">
        <v>52500.0</v>
      </c>
      <c r="G16" s="17">
        <v>17500.0</v>
      </c>
    </row>
    <row r="17">
      <c r="B17" s="14" t="s">
        <v>72</v>
      </c>
      <c r="C17" s="15">
        <v>503.0</v>
      </c>
      <c r="D17" s="16" t="s">
        <v>387</v>
      </c>
      <c r="E17" s="17">
        <v>90000.0</v>
      </c>
      <c r="F17" s="17">
        <v>96000.0</v>
      </c>
      <c r="G17" s="17">
        <v>0.0</v>
      </c>
    </row>
    <row r="18">
      <c r="B18" s="14" t="s">
        <v>83</v>
      </c>
      <c r="C18" s="15">
        <v>520.0</v>
      </c>
      <c r="D18" s="16" t="s">
        <v>388</v>
      </c>
      <c r="E18" s="17">
        <v>250000.0</v>
      </c>
      <c r="F18" s="17">
        <v>200000.0</v>
      </c>
      <c r="G18" s="17">
        <v>50000.0</v>
      </c>
    </row>
    <row r="19">
      <c r="B19" s="14" t="s">
        <v>83</v>
      </c>
      <c r="C19" s="15">
        <v>523.0</v>
      </c>
      <c r="D19" s="16" t="s">
        <v>389</v>
      </c>
      <c r="E19" s="17">
        <v>260000.0</v>
      </c>
      <c r="F19" s="17">
        <v>208000.0</v>
      </c>
      <c r="G19" s="17">
        <v>52000.0</v>
      </c>
    </row>
    <row r="20">
      <c r="B20" s="14" t="s">
        <v>83</v>
      </c>
      <c r="C20" s="15">
        <v>507.0</v>
      </c>
      <c r="D20" s="16" t="s">
        <v>390</v>
      </c>
      <c r="E20" s="17">
        <v>85000.0</v>
      </c>
      <c r="F20" s="17">
        <v>68000.0</v>
      </c>
      <c r="G20" s="17">
        <v>17000.0</v>
      </c>
    </row>
    <row r="21">
      <c r="B21" s="20" t="s">
        <v>216</v>
      </c>
      <c r="C21" s="2"/>
      <c r="D21" s="3"/>
      <c r="E21" s="21">
        <f t="shared" ref="E21:G21" si="1">SUM(E16:E20)</f>
        <v>755000</v>
      </c>
      <c r="F21" s="21">
        <f t="shared" si="1"/>
        <v>624500</v>
      </c>
      <c r="G21" s="22">
        <f t="shared" si="1"/>
        <v>136500</v>
      </c>
      <c r="H21" s="23" t="s">
        <v>20</v>
      </c>
    </row>
    <row r="22" ht="15.75" customHeight="1">
      <c r="B22" s="20" t="s">
        <v>218</v>
      </c>
      <c r="C22" s="2"/>
      <c r="D22" s="3"/>
      <c r="E22" s="21"/>
      <c r="F22" s="21">
        <f>SUM(F21)</f>
        <v>624500</v>
      </c>
      <c r="G22" s="21"/>
    </row>
    <row r="23" ht="15.75" customHeight="1"/>
    <row r="24" ht="15.75" customHeight="1"/>
    <row r="25" ht="15.75" customHeight="1">
      <c r="B25" s="1" t="s">
        <v>0</v>
      </c>
      <c r="C25" s="2"/>
      <c r="D25" s="3"/>
      <c r="E25" s="28"/>
      <c r="F25" s="28"/>
      <c r="G25" s="28"/>
    </row>
    <row r="26" ht="15.75" customHeight="1">
      <c r="B26" s="6" t="s">
        <v>384</v>
      </c>
      <c r="C26" s="2"/>
      <c r="D26" s="3"/>
      <c r="E26" s="7"/>
      <c r="F26" s="7"/>
      <c r="G26" s="7"/>
    </row>
    <row r="27" ht="15.75" customHeight="1">
      <c r="B27" s="8" t="s">
        <v>101</v>
      </c>
      <c r="C27" s="2"/>
      <c r="D27" s="3"/>
      <c r="E27" s="9"/>
      <c r="F27" s="9"/>
      <c r="G27" s="9"/>
    </row>
    <row r="28" ht="15.75" customHeight="1">
      <c r="B28" s="47" t="s">
        <v>3</v>
      </c>
      <c r="C28" s="47" t="s">
        <v>4</v>
      </c>
      <c r="D28" s="47" t="s">
        <v>5</v>
      </c>
      <c r="E28" s="47" t="s">
        <v>6</v>
      </c>
      <c r="F28" s="47" t="s">
        <v>7</v>
      </c>
      <c r="G28" s="48" t="s">
        <v>8</v>
      </c>
    </row>
    <row r="29" ht="15.75" customHeight="1">
      <c r="B29" s="14" t="s">
        <v>105</v>
      </c>
      <c r="C29" s="15">
        <v>502.0</v>
      </c>
      <c r="D29" s="16" t="s">
        <v>391</v>
      </c>
      <c r="E29" s="17">
        <v>140000.0</v>
      </c>
      <c r="F29" s="17">
        <v>112000.0</v>
      </c>
      <c r="G29" s="17">
        <v>28000.0</v>
      </c>
    </row>
    <row r="30" ht="15.75" customHeight="1">
      <c r="B30" s="14" t="s">
        <v>336</v>
      </c>
      <c r="C30" s="15">
        <v>513.0</v>
      </c>
      <c r="D30" s="16" t="s">
        <v>392</v>
      </c>
      <c r="E30" s="17">
        <v>90000.0</v>
      </c>
      <c r="F30" s="17">
        <v>72000.0</v>
      </c>
      <c r="G30" s="17">
        <v>18000.0</v>
      </c>
    </row>
    <row r="31" ht="15.75" customHeight="1">
      <c r="B31" s="20" t="s">
        <v>216</v>
      </c>
      <c r="C31" s="2"/>
      <c r="D31" s="3"/>
      <c r="E31" s="21">
        <f t="shared" ref="E31:G31" si="2">SUM(E26:E30)</f>
        <v>230000</v>
      </c>
      <c r="F31" s="21">
        <f t="shared" si="2"/>
        <v>184000</v>
      </c>
      <c r="G31" s="22">
        <f t="shared" si="2"/>
        <v>46000</v>
      </c>
      <c r="H31" s="23" t="s">
        <v>20</v>
      </c>
    </row>
    <row r="32" ht="15.75" customHeight="1">
      <c r="B32" s="20" t="s">
        <v>218</v>
      </c>
      <c r="C32" s="2"/>
      <c r="D32" s="3"/>
      <c r="E32" s="21"/>
      <c r="F32" s="21">
        <f>SUM(F31)</f>
        <v>184000</v>
      </c>
      <c r="G32" s="21"/>
    </row>
    <row r="33" ht="15.75" customHeight="1"/>
    <row r="34" ht="15.75" customHeight="1"/>
    <row r="35" ht="15.75" customHeight="1">
      <c r="B35" s="1" t="s">
        <v>0</v>
      </c>
      <c r="C35" s="2"/>
      <c r="D35" s="3"/>
      <c r="E35" s="28"/>
      <c r="F35" s="28"/>
      <c r="G35" s="28"/>
    </row>
    <row r="36" ht="15.75" customHeight="1">
      <c r="B36" s="6" t="s">
        <v>384</v>
      </c>
      <c r="C36" s="2"/>
      <c r="D36" s="3"/>
      <c r="E36" s="7"/>
      <c r="F36" s="7"/>
      <c r="G36" s="7"/>
    </row>
    <row r="37" ht="15.75" customHeight="1">
      <c r="B37" s="8" t="s">
        <v>126</v>
      </c>
      <c r="C37" s="2"/>
      <c r="D37" s="3"/>
      <c r="E37" s="9"/>
      <c r="F37" s="9"/>
      <c r="G37" s="9"/>
    </row>
    <row r="38" ht="15.75" customHeight="1">
      <c r="B38" s="47" t="s">
        <v>3</v>
      </c>
      <c r="C38" s="47" t="s">
        <v>4</v>
      </c>
      <c r="D38" s="47" t="s">
        <v>5</v>
      </c>
      <c r="E38" s="47" t="s">
        <v>6</v>
      </c>
      <c r="F38" s="47" t="s">
        <v>7</v>
      </c>
      <c r="G38" s="48" t="s">
        <v>8</v>
      </c>
    </row>
    <row r="39" ht="15.75" customHeight="1">
      <c r="B39" s="14" t="s">
        <v>208</v>
      </c>
      <c r="C39" s="15">
        <v>504.0</v>
      </c>
      <c r="D39" s="16" t="s">
        <v>393</v>
      </c>
      <c r="E39" s="17">
        <v>135000.0</v>
      </c>
      <c r="F39" s="17">
        <v>108000.0</v>
      </c>
      <c r="G39" s="17">
        <v>27000.0</v>
      </c>
    </row>
    <row r="40" ht="15.75" customHeight="1">
      <c r="B40" s="14" t="s">
        <v>210</v>
      </c>
      <c r="C40" s="15">
        <v>520.0</v>
      </c>
      <c r="D40" s="16" t="s">
        <v>394</v>
      </c>
      <c r="E40" s="17">
        <v>250000.0</v>
      </c>
      <c r="F40" s="17">
        <v>117000.0</v>
      </c>
      <c r="G40" s="17">
        <v>133000.0</v>
      </c>
    </row>
    <row r="41" ht="15.75" customHeight="1">
      <c r="B41" s="20" t="s">
        <v>19</v>
      </c>
      <c r="C41" s="2"/>
      <c r="D41" s="3"/>
      <c r="E41" s="21">
        <f t="shared" ref="E41:G41" si="3">SUM(E39:E40)</f>
        <v>385000</v>
      </c>
      <c r="F41" s="21">
        <f t="shared" si="3"/>
        <v>225000</v>
      </c>
      <c r="G41" s="22">
        <f t="shared" si="3"/>
        <v>160000</v>
      </c>
      <c r="H41" s="23" t="s">
        <v>20</v>
      </c>
    </row>
    <row r="42" ht="15.75" customHeight="1">
      <c r="B42" s="20" t="s">
        <v>218</v>
      </c>
      <c r="C42" s="2"/>
      <c r="D42" s="3"/>
      <c r="E42" s="21"/>
      <c r="F42" s="21">
        <f>SUM(F41)</f>
        <v>225000</v>
      </c>
      <c r="G42" s="21"/>
    </row>
    <row r="43" ht="15.75" customHeight="1"/>
    <row r="44" ht="15.75" customHeight="1"/>
    <row r="45" ht="15.75" customHeight="1">
      <c r="B45" s="1" t="s">
        <v>0</v>
      </c>
      <c r="C45" s="2"/>
      <c r="D45" s="3"/>
      <c r="E45" s="28"/>
      <c r="F45" s="28"/>
      <c r="G45" s="28"/>
    </row>
    <row r="46" ht="15.75" customHeight="1">
      <c r="B46" s="6" t="s">
        <v>384</v>
      </c>
      <c r="C46" s="2"/>
      <c r="D46" s="3"/>
      <c r="E46" s="7"/>
      <c r="F46" s="7"/>
      <c r="G46" s="7"/>
    </row>
    <row r="47" ht="15.75" customHeight="1">
      <c r="B47" s="8" t="s">
        <v>157</v>
      </c>
      <c r="C47" s="2"/>
      <c r="D47" s="3"/>
      <c r="E47" s="9"/>
      <c r="F47" s="9"/>
      <c r="G47" s="9"/>
    </row>
    <row r="48" ht="15.75" customHeight="1">
      <c r="B48" s="47" t="s">
        <v>3</v>
      </c>
      <c r="C48" s="47" t="s">
        <v>4</v>
      </c>
      <c r="D48" s="47" t="s">
        <v>5</v>
      </c>
      <c r="E48" s="47" t="s">
        <v>6</v>
      </c>
      <c r="F48" s="47" t="s">
        <v>7</v>
      </c>
      <c r="G48" s="48" t="s">
        <v>8</v>
      </c>
    </row>
    <row r="49" ht="15.75" customHeight="1">
      <c r="B49" s="14" t="s">
        <v>309</v>
      </c>
      <c r="C49" s="15"/>
      <c r="D49" s="16" t="s">
        <v>395</v>
      </c>
      <c r="E49" s="17">
        <v>117000.0</v>
      </c>
      <c r="F49" s="17">
        <v>117000.0</v>
      </c>
      <c r="G49" s="17">
        <v>0.0</v>
      </c>
    </row>
    <row r="50" ht="15.75" customHeight="1">
      <c r="B50" s="20" t="s">
        <v>19</v>
      </c>
      <c r="C50" s="2"/>
      <c r="D50" s="3"/>
      <c r="E50" s="21">
        <f t="shared" ref="E50:G50" si="4">SUM(E48:E49)</f>
        <v>117000</v>
      </c>
      <c r="F50" s="21">
        <f t="shared" si="4"/>
        <v>117000</v>
      </c>
      <c r="G50" s="22">
        <f t="shared" si="4"/>
        <v>0</v>
      </c>
      <c r="H50" s="23" t="s">
        <v>20</v>
      </c>
    </row>
    <row r="51" ht="15.75" customHeight="1">
      <c r="B51" s="20" t="s">
        <v>218</v>
      </c>
      <c r="C51" s="2"/>
      <c r="D51" s="3"/>
      <c r="E51" s="21"/>
      <c r="F51" s="21">
        <f>SUM(F50)</f>
        <v>117000</v>
      </c>
      <c r="G51" s="21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0">
    <mergeCell ref="B3:D3"/>
    <mergeCell ref="E3:E5"/>
    <mergeCell ref="F3:F5"/>
    <mergeCell ref="G3:G5"/>
    <mergeCell ref="B4:D4"/>
    <mergeCell ref="B5:D5"/>
    <mergeCell ref="B8:D8"/>
    <mergeCell ref="B9:D9"/>
    <mergeCell ref="B12:D12"/>
    <mergeCell ref="E12:E14"/>
    <mergeCell ref="F12:F14"/>
    <mergeCell ref="G12:G14"/>
    <mergeCell ref="B13:D13"/>
    <mergeCell ref="B14:D14"/>
    <mergeCell ref="B21:D21"/>
    <mergeCell ref="B22:D22"/>
    <mergeCell ref="B25:D25"/>
    <mergeCell ref="E25:E27"/>
    <mergeCell ref="F25:F27"/>
    <mergeCell ref="G25:G27"/>
    <mergeCell ref="B26:D26"/>
    <mergeCell ref="B27:D27"/>
    <mergeCell ref="B31:D31"/>
    <mergeCell ref="B32:D32"/>
    <mergeCell ref="B35:D35"/>
    <mergeCell ref="E35:E37"/>
    <mergeCell ref="F35:F37"/>
    <mergeCell ref="G35:G37"/>
    <mergeCell ref="B45:D45"/>
    <mergeCell ref="B46:D46"/>
    <mergeCell ref="B50:D50"/>
    <mergeCell ref="B51:D51"/>
    <mergeCell ref="B36:D36"/>
    <mergeCell ref="B37:D37"/>
    <mergeCell ref="B41:D41"/>
    <mergeCell ref="B42:D42"/>
    <mergeCell ref="E45:E47"/>
    <mergeCell ref="F45:F47"/>
    <mergeCell ref="G45:G47"/>
    <mergeCell ref="B47:D47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0.71"/>
    <col customWidth="1" min="3" max="3" width="8.86"/>
    <col customWidth="1" min="4" max="4" width="22.71"/>
    <col customWidth="1" min="5" max="5" width="13.86"/>
    <col customWidth="1" min="6" max="6" width="21.14"/>
    <col customWidth="1" min="7" max="7" width="23.57"/>
    <col customWidth="1" min="8" max="8" width="18.43"/>
    <col customWidth="1" min="9" max="26" width="10.71"/>
  </cols>
  <sheetData>
    <row r="2">
      <c r="B2" s="1" t="s">
        <v>0</v>
      </c>
      <c r="C2" s="2"/>
      <c r="D2" s="3"/>
      <c r="E2" s="4"/>
      <c r="F2" s="4"/>
      <c r="G2" s="4"/>
    </row>
    <row r="3">
      <c r="B3" s="6" t="s">
        <v>396</v>
      </c>
      <c r="C3" s="2"/>
      <c r="D3" s="3"/>
      <c r="E3" s="7"/>
      <c r="F3" s="7"/>
      <c r="G3" s="7"/>
    </row>
    <row r="4">
      <c r="B4" s="8" t="s">
        <v>22</v>
      </c>
      <c r="C4" s="2"/>
      <c r="D4" s="3"/>
      <c r="E4" s="9"/>
      <c r="F4" s="9"/>
      <c r="G4" s="9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</row>
    <row r="6">
      <c r="B6" s="14" t="s">
        <v>322</v>
      </c>
      <c r="C6" s="15"/>
      <c r="D6" s="16" t="s">
        <v>397</v>
      </c>
      <c r="E6" s="17">
        <v>52500.0</v>
      </c>
      <c r="F6" s="17">
        <v>30000.0</v>
      </c>
      <c r="G6" s="17">
        <v>22500.0</v>
      </c>
    </row>
    <row r="7">
      <c r="B7" s="14" t="s">
        <v>47</v>
      </c>
      <c r="C7" s="15">
        <v>424.0</v>
      </c>
      <c r="D7" s="16" t="s">
        <v>398</v>
      </c>
      <c r="E7" s="17">
        <v>80500.0</v>
      </c>
      <c r="F7" s="17">
        <v>46000.0</v>
      </c>
      <c r="G7" s="17">
        <v>34500.0</v>
      </c>
    </row>
    <row r="8">
      <c r="B8" s="14" t="s">
        <v>56</v>
      </c>
      <c r="C8" s="15">
        <v>426.0</v>
      </c>
      <c r="D8" s="16" t="s">
        <v>188</v>
      </c>
      <c r="E8" s="17">
        <v>110000.0</v>
      </c>
      <c r="F8" s="17">
        <v>62900.0</v>
      </c>
      <c r="G8" s="17">
        <v>47100.0</v>
      </c>
    </row>
    <row r="9">
      <c r="B9" s="20" t="s">
        <v>216</v>
      </c>
      <c r="C9" s="2"/>
      <c r="D9" s="3"/>
      <c r="E9" s="21">
        <f t="shared" ref="E9:G9" si="1">SUM(E6:E8)</f>
        <v>243000</v>
      </c>
      <c r="F9" s="21">
        <f t="shared" si="1"/>
        <v>138900</v>
      </c>
      <c r="G9" s="22">
        <f t="shared" si="1"/>
        <v>104100</v>
      </c>
      <c r="H9" s="23" t="s">
        <v>20</v>
      </c>
    </row>
    <row r="10" ht="15.0" customHeight="1">
      <c r="B10" s="20" t="s">
        <v>218</v>
      </c>
      <c r="C10" s="2"/>
      <c r="D10" s="3"/>
      <c r="E10" s="21"/>
      <c r="F10" s="21">
        <f>SUM(F9)</f>
        <v>138900</v>
      </c>
      <c r="G10" s="21"/>
    </row>
    <row r="13">
      <c r="B13" s="1" t="s">
        <v>0</v>
      </c>
      <c r="C13" s="2"/>
      <c r="D13" s="3"/>
      <c r="E13" s="4"/>
      <c r="F13" s="4"/>
      <c r="G13" s="4"/>
    </row>
    <row r="14">
      <c r="B14" s="6" t="s">
        <v>396</v>
      </c>
      <c r="C14" s="2"/>
      <c r="D14" s="3"/>
      <c r="E14" s="7"/>
      <c r="F14" s="7"/>
      <c r="G14" s="7"/>
    </row>
    <row r="15">
      <c r="B15" s="8" t="s">
        <v>64</v>
      </c>
      <c r="C15" s="2"/>
      <c r="D15" s="3"/>
      <c r="E15" s="9"/>
      <c r="F15" s="9"/>
      <c r="G15" s="9"/>
    </row>
    <row r="16">
      <c r="B16" s="11" t="s">
        <v>3</v>
      </c>
      <c r="C16" s="11" t="s">
        <v>4</v>
      </c>
      <c r="D16" s="11" t="s">
        <v>5</v>
      </c>
      <c r="E16" s="11" t="s">
        <v>6</v>
      </c>
      <c r="F16" s="11" t="s">
        <v>7</v>
      </c>
      <c r="G16" s="12" t="s">
        <v>8</v>
      </c>
    </row>
    <row r="17">
      <c r="B17" s="14" t="s">
        <v>198</v>
      </c>
      <c r="C17" s="15">
        <v>432.0</v>
      </c>
      <c r="D17" s="16" t="s">
        <v>399</v>
      </c>
      <c r="E17" s="17">
        <v>28000.0</v>
      </c>
      <c r="F17" s="17">
        <v>16000.0</v>
      </c>
      <c r="G17" s="17">
        <v>12000.0</v>
      </c>
    </row>
    <row r="18">
      <c r="B18" s="14" t="s">
        <v>198</v>
      </c>
      <c r="C18" s="15">
        <v>432.0</v>
      </c>
      <c r="D18" s="16" t="s">
        <v>399</v>
      </c>
      <c r="E18" s="17">
        <v>28000.0</v>
      </c>
      <c r="F18" s="17">
        <v>16000.0</v>
      </c>
      <c r="G18" s="17">
        <v>12000.0</v>
      </c>
    </row>
    <row r="19">
      <c r="B19" s="14" t="s">
        <v>198</v>
      </c>
      <c r="C19" s="15">
        <v>433.0</v>
      </c>
      <c r="D19" s="16" t="s">
        <v>400</v>
      </c>
      <c r="E19" s="17">
        <v>70000.0</v>
      </c>
      <c r="F19" s="17">
        <v>40000.0</v>
      </c>
      <c r="G19" s="17">
        <v>30000.0</v>
      </c>
    </row>
    <row r="20">
      <c r="B20" s="14" t="s">
        <v>70</v>
      </c>
      <c r="C20" s="15">
        <v>430.0</v>
      </c>
      <c r="D20" s="16" t="s">
        <v>401</v>
      </c>
      <c r="E20" s="17">
        <v>65000.0</v>
      </c>
      <c r="F20" s="17">
        <v>37100.0</v>
      </c>
      <c r="G20" s="17">
        <v>27900.0</v>
      </c>
    </row>
    <row r="21">
      <c r="B21" s="14" t="s">
        <v>73</v>
      </c>
      <c r="C21" s="15">
        <v>432.0</v>
      </c>
      <c r="D21" s="16" t="s">
        <v>399</v>
      </c>
      <c r="E21" s="17">
        <v>28000.0</v>
      </c>
      <c r="F21" s="17">
        <v>16000.0</v>
      </c>
      <c r="G21" s="17">
        <v>12000.0</v>
      </c>
    </row>
    <row r="22" ht="15.75" customHeight="1">
      <c r="B22" s="14" t="s">
        <v>73</v>
      </c>
      <c r="C22" s="15">
        <v>434.0</v>
      </c>
      <c r="D22" s="16" t="s">
        <v>400</v>
      </c>
      <c r="E22" s="17">
        <v>40000.0</v>
      </c>
      <c r="F22" s="17">
        <v>22900.0</v>
      </c>
      <c r="G22" s="17">
        <v>17100.0</v>
      </c>
    </row>
    <row r="23" ht="15.75" customHeight="1">
      <c r="B23" s="14" t="s">
        <v>89</v>
      </c>
      <c r="C23" s="15">
        <v>424.0</v>
      </c>
      <c r="D23" s="16" t="s">
        <v>402</v>
      </c>
      <c r="E23" s="17">
        <v>80600.0</v>
      </c>
      <c r="F23" s="17">
        <v>46000.0</v>
      </c>
      <c r="G23" s="17">
        <v>34500.0</v>
      </c>
    </row>
    <row r="24" ht="15.75" customHeight="1">
      <c r="B24" s="14" t="s">
        <v>89</v>
      </c>
      <c r="C24" s="15">
        <v>427.0</v>
      </c>
      <c r="D24" s="16" t="s">
        <v>403</v>
      </c>
      <c r="E24" s="17">
        <v>40000.0</v>
      </c>
      <c r="F24" s="17">
        <v>22900.0</v>
      </c>
      <c r="G24" s="17">
        <v>17100.0</v>
      </c>
    </row>
    <row r="25" ht="15.75" customHeight="1">
      <c r="B25" s="14" t="s">
        <v>91</v>
      </c>
      <c r="C25" s="15">
        <v>428.0</v>
      </c>
      <c r="D25" s="16" t="s">
        <v>404</v>
      </c>
      <c r="E25" s="17">
        <v>65000.0</v>
      </c>
      <c r="F25" s="17">
        <v>37100.0</v>
      </c>
      <c r="G25" s="17">
        <v>27900.0</v>
      </c>
    </row>
    <row r="26" ht="15.75" customHeight="1">
      <c r="B26" s="14" t="s">
        <v>91</v>
      </c>
      <c r="C26" s="15">
        <v>434.0</v>
      </c>
      <c r="D26" s="16" t="s">
        <v>405</v>
      </c>
      <c r="E26" s="17">
        <v>40000.0</v>
      </c>
      <c r="F26" s="17">
        <v>22900.0</v>
      </c>
      <c r="G26" s="17">
        <v>17100.0</v>
      </c>
    </row>
    <row r="27" ht="15.75" customHeight="1">
      <c r="B27" s="14" t="s">
        <v>406</v>
      </c>
      <c r="C27" s="15">
        <v>424.0</v>
      </c>
      <c r="D27" s="16" t="s">
        <v>402</v>
      </c>
      <c r="E27" s="17">
        <v>80500.0</v>
      </c>
      <c r="F27" s="17">
        <v>46000.0</v>
      </c>
      <c r="G27" s="17">
        <v>34500.0</v>
      </c>
    </row>
    <row r="28" ht="15.75" customHeight="1">
      <c r="B28" s="14" t="s">
        <v>99</v>
      </c>
      <c r="C28" s="15">
        <v>437.0</v>
      </c>
      <c r="D28" s="16" t="s">
        <v>407</v>
      </c>
      <c r="E28" s="17">
        <v>105000.0</v>
      </c>
      <c r="F28" s="17">
        <v>60000.0</v>
      </c>
      <c r="G28" s="17">
        <v>45000.0</v>
      </c>
    </row>
    <row r="29" ht="15.75" customHeight="1">
      <c r="B29" s="20" t="s">
        <v>408</v>
      </c>
      <c r="C29" s="2"/>
      <c r="D29" s="3"/>
      <c r="E29" s="21">
        <f t="shared" ref="E29:G29" si="2">SUM(E17:E28)</f>
        <v>670100</v>
      </c>
      <c r="F29" s="21">
        <f t="shared" si="2"/>
        <v>382900</v>
      </c>
      <c r="G29" s="22">
        <f t="shared" si="2"/>
        <v>287100</v>
      </c>
      <c r="H29" s="23" t="s">
        <v>20</v>
      </c>
    </row>
    <row r="30" ht="15.75" customHeight="1">
      <c r="B30" s="20" t="s">
        <v>218</v>
      </c>
      <c r="C30" s="2"/>
      <c r="D30" s="3"/>
      <c r="E30" s="21"/>
      <c r="F30" s="21">
        <f>SUM(F29)</f>
        <v>382900</v>
      </c>
      <c r="G30" s="21"/>
    </row>
    <row r="31" ht="15.75" customHeight="1"/>
    <row r="32" ht="15.75" customHeight="1"/>
    <row r="33" ht="15.75" customHeight="1">
      <c r="B33" s="1" t="s">
        <v>0</v>
      </c>
      <c r="C33" s="2"/>
      <c r="D33" s="3"/>
      <c r="E33" s="28"/>
      <c r="F33" s="28"/>
      <c r="G33" s="28"/>
    </row>
    <row r="34" ht="15.75" customHeight="1">
      <c r="B34" s="6" t="s">
        <v>396</v>
      </c>
      <c r="C34" s="2"/>
      <c r="D34" s="3"/>
      <c r="E34" s="7"/>
      <c r="F34" s="7"/>
      <c r="G34" s="7"/>
    </row>
    <row r="35" ht="15.75" customHeight="1">
      <c r="B35" s="8" t="s">
        <v>101</v>
      </c>
      <c r="C35" s="2"/>
      <c r="D35" s="3"/>
      <c r="E35" s="9"/>
      <c r="F35" s="9"/>
      <c r="G35" s="9"/>
    </row>
    <row r="36" ht="15.75" customHeight="1">
      <c r="B36" s="47" t="s">
        <v>3</v>
      </c>
      <c r="C36" s="47" t="s">
        <v>4</v>
      </c>
      <c r="D36" s="47" t="s">
        <v>5</v>
      </c>
      <c r="E36" s="47" t="s">
        <v>6</v>
      </c>
      <c r="F36" s="47" t="s">
        <v>7</v>
      </c>
      <c r="G36" s="48" t="s">
        <v>8</v>
      </c>
    </row>
    <row r="37" ht="15.75" customHeight="1">
      <c r="B37" s="14" t="s">
        <v>300</v>
      </c>
      <c r="C37" s="15">
        <v>431.0</v>
      </c>
      <c r="D37" s="16" t="s">
        <v>409</v>
      </c>
      <c r="E37" s="17">
        <v>45500.0</v>
      </c>
      <c r="F37" s="17">
        <v>26000.0</v>
      </c>
      <c r="G37" s="17">
        <v>19500.0</v>
      </c>
    </row>
    <row r="38" ht="15.75" customHeight="1">
      <c r="B38" s="14" t="s">
        <v>205</v>
      </c>
      <c r="C38" s="15">
        <v>434.0</v>
      </c>
      <c r="D38" s="16" t="s">
        <v>410</v>
      </c>
      <c r="E38" s="17">
        <v>40000.0</v>
      </c>
      <c r="F38" s="17">
        <v>22900.0</v>
      </c>
      <c r="G38" s="17">
        <v>17100.0</v>
      </c>
    </row>
    <row r="39" ht="15.75" customHeight="1">
      <c r="B39" s="14" t="s">
        <v>205</v>
      </c>
      <c r="C39" s="15">
        <v>434.0</v>
      </c>
      <c r="D39" s="16" t="s">
        <v>410</v>
      </c>
      <c r="E39" s="17">
        <v>40000.0</v>
      </c>
      <c r="F39" s="17">
        <v>22900.0</v>
      </c>
      <c r="G39" s="17">
        <v>17100.0</v>
      </c>
    </row>
    <row r="40" ht="15.75" customHeight="1">
      <c r="B40" s="14" t="s">
        <v>205</v>
      </c>
      <c r="C40" s="15">
        <v>423.0</v>
      </c>
      <c r="D40" s="16" t="s">
        <v>411</v>
      </c>
      <c r="E40" s="17">
        <v>52500.0</v>
      </c>
      <c r="F40" s="17">
        <v>30000.0</v>
      </c>
      <c r="G40" s="17">
        <v>22500.0</v>
      </c>
    </row>
    <row r="41" ht="15.75" customHeight="1">
      <c r="B41" s="14" t="s">
        <v>205</v>
      </c>
      <c r="C41" s="15">
        <v>424.0</v>
      </c>
      <c r="D41" s="16" t="s">
        <v>412</v>
      </c>
      <c r="E41" s="17">
        <v>80500.0</v>
      </c>
      <c r="F41" s="17">
        <v>46000.0</v>
      </c>
      <c r="G41" s="17">
        <v>34500.0</v>
      </c>
    </row>
    <row r="42" ht="15.75" customHeight="1">
      <c r="B42" s="14" t="s">
        <v>205</v>
      </c>
      <c r="C42" s="15">
        <v>424.0</v>
      </c>
      <c r="D42" s="16" t="s">
        <v>412</v>
      </c>
      <c r="E42" s="17">
        <v>80500.0</v>
      </c>
      <c r="F42" s="17">
        <v>46000.0</v>
      </c>
      <c r="G42" s="17">
        <v>34500.0</v>
      </c>
    </row>
    <row r="43" ht="15.75" customHeight="1">
      <c r="B43" s="14" t="s">
        <v>125</v>
      </c>
      <c r="C43" s="15">
        <v>433.0</v>
      </c>
      <c r="D43" s="16" t="s">
        <v>400</v>
      </c>
      <c r="E43" s="17">
        <v>70000.0</v>
      </c>
      <c r="F43" s="17">
        <v>40000.0</v>
      </c>
      <c r="G43" s="17">
        <v>30000.0</v>
      </c>
    </row>
    <row r="44" ht="15.75" customHeight="1">
      <c r="B44" s="14" t="s">
        <v>125</v>
      </c>
      <c r="C44" s="15">
        <v>433.0</v>
      </c>
      <c r="D44" s="16" t="s">
        <v>400</v>
      </c>
      <c r="E44" s="17">
        <v>70000.0</v>
      </c>
      <c r="F44" s="17">
        <v>40000.0</v>
      </c>
      <c r="G44" s="17">
        <v>30000.0</v>
      </c>
    </row>
    <row r="45" ht="15.75" customHeight="1">
      <c r="B45" s="20" t="s">
        <v>19</v>
      </c>
      <c r="C45" s="2"/>
      <c r="D45" s="3"/>
      <c r="E45" s="21">
        <f t="shared" ref="E45:G45" si="3">SUM(E37:E44)</f>
        <v>479000</v>
      </c>
      <c r="F45" s="21">
        <f t="shared" si="3"/>
        <v>273800</v>
      </c>
      <c r="G45" s="22">
        <f t="shared" si="3"/>
        <v>205200</v>
      </c>
      <c r="H45" s="23" t="s">
        <v>20</v>
      </c>
    </row>
    <row r="46" ht="15.75" customHeight="1">
      <c r="B46" s="20" t="s">
        <v>218</v>
      </c>
      <c r="C46" s="2"/>
      <c r="D46" s="3"/>
      <c r="E46" s="21"/>
      <c r="F46" s="21">
        <f>SUM(F45)</f>
        <v>273800</v>
      </c>
      <c r="G46" s="21"/>
    </row>
    <row r="47" ht="15.75" customHeight="1"/>
    <row r="48" ht="15.75" customHeight="1"/>
    <row r="49" ht="15.75" customHeight="1">
      <c r="B49" s="1" t="s">
        <v>0</v>
      </c>
      <c r="C49" s="2"/>
      <c r="D49" s="3"/>
      <c r="E49" s="28"/>
      <c r="F49" s="28"/>
      <c r="G49" s="28"/>
    </row>
    <row r="50" ht="15.75" customHeight="1">
      <c r="B50" s="6" t="s">
        <v>396</v>
      </c>
      <c r="C50" s="2"/>
      <c r="D50" s="3"/>
      <c r="E50" s="7"/>
      <c r="F50" s="7"/>
      <c r="G50" s="7"/>
    </row>
    <row r="51" ht="15.75" customHeight="1">
      <c r="B51" s="8" t="s">
        <v>126</v>
      </c>
      <c r="C51" s="2"/>
      <c r="D51" s="3"/>
      <c r="E51" s="9"/>
      <c r="F51" s="9"/>
      <c r="G51" s="9"/>
    </row>
    <row r="52" ht="15.75" customHeight="1">
      <c r="B52" s="47" t="s">
        <v>3</v>
      </c>
      <c r="C52" s="47" t="s">
        <v>4</v>
      </c>
      <c r="D52" s="47" t="s">
        <v>5</v>
      </c>
      <c r="E52" s="47" t="s">
        <v>6</v>
      </c>
      <c r="F52" s="47" t="s">
        <v>7</v>
      </c>
      <c r="G52" s="48" t="s">
        <v>8</v>
      </c>
    </row>
    <row r="53" ht="15.75" customHeight="1">
      <c r="B53" s="14" t="s">
        <v>341</v>
      </c>
      <c r="C53" s="15">
        <v>432.0</v>
      </c>
      <c r="D53" s="16" t="s">
        <v>413</v>
      </c>
      <c r="E53" s="17">
        <v>28000.0</v>
      </c>
      <c r="F53" s="17">
        <v>16000.0</v>
      </c>
      <c r="G53" s="17">
        <v>12000.0</v>
      </c>
    </row>
    <row r="54" ht="15.75" customHeight="1">
      <c r="B54" s="14" t="s">
        <v>208</v>
      </c>
      <c r="C54" s="15">
        <v>436.0</v>
      </c>
      <c r="D54" s="16" t="s">
        <v>414</v>
      </c>
      <c r="E54" s="17">
        <v>70000.0</v>
      </c>
      <c r="F54" s="17">
        <v>40000.0</v>
      </c>
      <c r="G54" s="17">
        <v>30000.0</v>
      </c>
    </row>
    <row r="55" ht="15.75" customHeight="1">
      <c r="B55" s="14" t="s">
        <v>131</v>
      </c>
      <c r="C55" s="15">
        <v>434.0</v>
      </c>
      <c r="D55" s="16" t="s">
        <v>405</v>
      </c>
      <c r="E55" s="17">
        <v>40000.0</v>
      </c>
      <c r="F55" s="17">
        <v>22900.0</v>
      </c>
      <c r="G55" s="17">
        <v>17100.0</v>
      </c>
    </row>
    <row r="56" ht="15.75" customHeight="1">
      <c r="B56" s="14" t="s">
        <v>341</v>
      </c>
      <c r="C56" s="15">
        <v>432.0</v>
      </c>
      <c r="D56" s="16" t="s">
        <v>413</v>
      </c>
      <c r="E56" s="17">
        <v>28000.0</v>
      </c>
      <c r="F56" s="17">
        <v>16000.0</v>
      </c>
      <c r="G56" s="17">
        <v>12000.0</v>
      </c>
    </row>
    <row r="57" ht="15.75" customHeight="1">
      <c r="B57" s="14" t="s">
        <v>341</v>
      </c>
      <c r="C57" s="15">
        <v>432.0</v>
      </c>
      <c r="D57" s="16" t="s">
        <v>413</v>
      </c>
      <c r="E57" s="17">
        <v>28000.0</v>
      </c>
      <c r="F57" s="17">
        <v>16000.0</v>
      </c>
      <c r="G57" s="17">
        <v>12000.0</v>
      </c>
    </row>
    <row r="58" ht="15.75" customHeight="1">
      <c r="B58" s="14" t="s">
        <v>140</v>
      </c>
      <c r="C58" s="15">
        <v>430.0</v>
      </c>
      <c r="D58" s="16" t="s">
        <v>415</v>
      </c>
      <c r="E58" s="17">
        <v>65000.0</v>
      </c>
      <c r="F58" s="17">
        <v>37100.0</v>
      </c>
      <c r="G58" s="17">
        <v>27900.0</v>
      </c>
    </row>
    <row r="59" ht="15.75" customHeight="1">
      <c r="B59" s="14" t="s">
        <v>247</v>
      </c>
      <c r="C59" s="15">
        <v>434.0</v>
      </c>
      <c r="D59" s="16" t="s">
        <v>405</v>
      </c>
      <c r="E59" s="17">
        <v>40000.0</v>
      </c>
      <c r="F59" s="17">
        <v>22900.0</v>
      </c>
      <c r="G59" s="17">
        <v>17100.0</v>
      </c>
    </row>
    <row r="60" ht="15.75" customHeight="1">
      <c r="B60" s="14" t="s">
        <v>147</v>
      </c>
      <c r="C60" s="15">
        <v>438.0</v>
      </c>
      <c r="D60" s="16" t="s">
        <v>416</v>
      </c>
      <c r="E60" s="17">
        <v>155500.0</v>
      </c>
      <c r="F60" s="17">
        <v>66000.0</v>
      </c>
      <c r="G60" s="17">
        <v>49500.0</v>
      </c>
    </row>
    <row r="61" ht="15.75" customHeight="1">
      <c r="B61" s="14" t="s">
        <v>151</v>
      </c>
      <c r="C61" s="15">
        <v>432.0</v>
      </c>
      <c r="D61" s="16" t="s">
        <v>413</v>
      </c>
      <c r="E61" s="17">
        <v>28000.0</v>
      </c>
      <c r="F61" s="17">
        <v>16000.0</v>
      </c>
      <c r="G61" s="17">
        <v>12000.0</v>
      </c>
    </row>
    <row r="62" ht="15.75" customHeight="1">
      <c r="B62" s="14" t="s">
        <v>151</v>
      </c>
      <c r="C62" s="15">
        <v>432.0</v>
      </c>
      <c r="D62" s="16" t="s">
        <v>413</v>
      </c>
      <c r="E62" s="17">
        <v>28000.0</v>
      </c>
      <c r="F62" s="17">
        <v>16000.0</v>
      </c>
      <c r="G62" s="17">
        <v>12000.0</v>
      </c>
    </row>
    <row r="63" ht="15.75" customHeight="1">
      <c r="B63" s="14" t="s">
        <v>151</v>
      </c>
      <c r="C63" s="15">
        <v>432.0</v>
      </c>
      <c r="D63" s="16" t="s">
        <v>413</v>
      </c>
      <c r="E63" s="17">
        <v>28000.0</v>
      </c>
      <c r="F63" s="17">
        <v>16000.0</v>
      </c>
      <c r="G63" s="17">
        <v>12000.0</v>
      </c>
    </row>
    <row r="64" ht="15.75" customHeight="1">
      <c r="B64" s="14" t="s">
        <v>153</v>
      </c>
      <c r="C64" s="15">
        <v>427.0</v>
      </c>
      <c r="D64" s="16" t="s">
        <v>417</v>
      </c>
      <c r="E64" s="17">
        <v>40000.0</v>
      </c>
      <c r="F64" s="17">
        <v>22900.0</v>
      </c>
      <c r="G64" s="17">
        <v>17100.0</v>
      </c>
    </row>
    <row r="65" ht="15.75" customHeight="1">
      <c r="B65" s="20" t="s">
        <v>216</v>
      </c>
      <c r="C65" s="2"/>
      <c r="D65" s="3"/>
      <c r="E65" s="21">
        <f t="shared" ref="E65:G65" si="4">SUM(E53:E64)</f>
        <v>578500</v>
      </c>
      <c r="F65" s="21">
        <f t="shared" si="4"/>
        <v>307800</v>
      </c>
      <c r="G65" s="22">
        <f t="shared" si="4"/>
        <v>230700</v>
      </c>
      <c r="H65" s="23" t="s">
        <v>20</v>
      </c>
    </row>
    <row r="66" ht="15.75" customHeight="1">
      <c r="B66" s="20" t="s">
        <v>218</v>
      </c>
      <c r="C66" s="2"/>
      <c r="D66" s="3"/>
      <c r="E66" s="21"/>
      <c r="F66" s="21">
        <f>SUM(F65)</f>
        <v>307800</v>
      </c>
      <c r="G66" s="21"/>
    </row>
    <row r="67" ht="15.75" customHeight="1"/>
    <row r="68" ht="15.75" customHeight="1"/>
    <row r="69" ht="15.75" customHeight="1">
      <c r="B69" s="1" t="s">
        <v>0</v>
      </c>
      <c r="C69" s="2"/>
      <c r="D69" s="3"/>
      <c r="E69" s="28"/>
      <c r="F69" s="28"/>
      <c r="G69" s="28"/>
    </row>
    <row r="70" ht="15.75" customHeight="1">
      <c r="B70" s="6" t="s">
        <v>396</v>
      </c>
      <c r="C70" s="2"/>
      <c r="D70" s="3"/>
      <c r="E70" s="7"/>
      <c r="F70" s="7"/>
      <c r="G70" s="7"/>
    </row>
    <row r="71" ht="15.75" customHeight="1">
      <c r="B71" s="8" t="s">
        <v>157</v>
      </c>
      <c r="C71" s="2"/>
      <c r="D71" s="3"/>
      <c r="E71" s="9"/>
      <c r="F71" s="9"/>
      <c r="G71" s="9"/>
    </row>
    <row r="72" ht="15.75" customHeight="1">
      <c r="B72" s="47" t="s">
        <v>3</v>
      </c>
      <c r="C72" s="47" t="s">
        <v>4</v>
      </c>
      <c r="D72" s="47" t="s">
        <v>5</v>
      </c>
      <c r="E72" s="47" t="s">
        <v>6</v>
      </c>
      <c r="F72" s="47" t="s">
        <v>7</v>
      </c>
      <c r="G72" s="48" t="s">
        <v>8</v>
      </c>
    </row>
    <row r="73" ht="15.75" customHeight="1">
      <c r="B73" s="14" t="s">
        <v>212</v>
      </c>
      <c r="C73" s="15">
        <v>434.0</v>
      </c>
      <c r="D73" s="16" t="s">
        <v>405</v>
      </c>
      <c r="E73" s="17">
        <v>40000.0</v>
      </c>
      <c r="F73" s="17">
        <v>22900.0</v>
      </c>
      <c r="G73" s="17">
        <v>17100.0</v>
      </c>
    </row>
    <row r="74" ht="15.75" customHeight="1">
      <c r="B74" s="14" t="s">
        <v>212</v>
      </c>
      <c r="C74" s="15">
        <v>434.0</v>
      </c>
      <c r="D74" s="16" t="s">
        <v>405</v>
      </c>
      <c r="E74" s="17">
        <v>40000.0</v>
      </c>
      <c r="F74" s="17">
        <v>22900.0</v>
      </c>
      <c r="G74" s="17">
        <v>17100.0</v>
      </c>
    </row>
    <row r="75" ht="15.75" customHeight="1">
      <c r="B75" s="14" t="s">
        <v>163</v>
      </c>
      <c r="C75" s="15">
        <v>427.0</v>
      </c>
      <c r="D75" s="16" t="s">
        <v>417</v>
      </c>
      <c r="E75" s="17">
        <v>40000.0</v>
      </c>
      <c r="F75" s="17">
        <v>22900.0</v>
      </c>
      <c r="G75" s="17">
        <v>17100.0</v>
      </c>
    </row>
    <row r="76" ht="15.75" customHeight="1">
      <c r="B76" s="14" t="s">
        <v>163</v>
      </c>
      <c r="C76" s="15">
        <v>427.0</v>
      </c>
      <c r="D76" s="16" t="s">
        <v>417</v>
      </c>
      <c r="E76" s="17">
        <v>40000.0</v>
      </c>
      <c r="F76" s="17">
        <v>22900.0</v>
      </c>
      <c r="G76" s="17">
        <v>17100.0</v>
      </c>
    </row>
    <row r="77" ht="15.75" customHeight="1">
      <c r="B77" s="14" t="s">
        <v>235</v>
      </c>
      <c r="C77" s="15">
        <v>434.0</v>
      </c>
      <c r="D77" s="16" t="s">
        <v>405</v>
      </c>
      <c r="E77" s="17">
        <v>40000.0</v>
      </c>
      <c r="F77" s="17">
        <v>22900.0</v>
      </c>
      <c r="G77" s="17">
        <v>17100.0</v>
      </c>
    </row>
    <row r="78" ht="15.75" customHeight="1">
      <c r="B78" s="14" t="s">
        <v>235</v>
      </c>
      <c r="C78" s="15">
        <v>426.0</v>
      </c>
      <c r="D78" s="16" t="s">
        <v>418</v>
      </c>
      <c r="E78" s="17">
        <v>110000.0</v>
      </c>
      <c r="F78" s="17">
        <v>62900.0</v>
      </c>
      <c r="G78" s="17">
        <v>47100.0</v>
      </c>
    </row>
    <row r="79" ht="15.75" customHeight="1">
      <c r="B79" s="14" t="s">
        <v>311</v>
      </c>
      <c r="C79" s="15">
        <v>424.0</v>
      </c>
      <c r="D79" s="16" t="s">
        <v>398</v>
      </c>
      <c r="E79" s="17">
        <v>80500.0</v>
      </c>
      <c r="F79" s="17">
        <v>46000.0</v>
      </c>
      <c r="G79" s="17">
        <v>34500.0</v>
      </c>
    </row>
    <row r="80" ht="15.75" customHeight="1">
      <c r="B80" s="14" t="s">
        <v>419</v>
      </c>
      <c r="C80" s="15">
        <v>434.0</v>
      </c>
      <c r="D80" s="16" t="s">
        <v>405</v>
      </c>
      <c r="E80" s="17">
        <v>40000.0</v>
      </c>
      <c r="F80" s="17">
        <v>22900.0</v>
      </c>
      <c r="G80" s="17">
        <v>17100.0</v>
      </c>
    </row>
    <row r="81" ht="15.75" customHeight="1">
      <c r="B81" s="14" t="s">
        <v>419</v>
      </c>
      <c r="C81" s="15">
        <v>434.0</v>
      </c>
      <c r="D81" s="16" t="s">
        <v>405</v>
      </c>
      <c r="E81" s="17">
        <v>40000.0</v>
      </c>
      <c r="F81" s="17">
        <v>22900.0</v>
      </c>
      <c r="G81" s="17">
        <v>17100.0</v>
      </c>
    </row>
    <row r="82" ht="15.75" customHeight="1">
      <c r="B82" s="14" t="s">
        <v>419</v>
      </c>
      <c r="C82" s="15">
        <v>432.0</v>
      </c>
      <c r="D82" s="16" t="s">
        <v>413</v>
      </c>
      <c r="E82" s="17">
        <v>28000.0</v>
      </c>
      <c r="F82" s="17">
        <v>16000.0</v>
      </c>
      <c r="G82" s="17">
        <v>12000.0</v>
      </c>
    </row>
    <row r="83" ht="15.75" customHeight="1">
      <c r="B83" s="14" t="s">
        <v>419</v>
      </c>
      <c r="C83" s="15">
        <v>432.0</v>
      </c>
      <c r="D83" s="16" t="s">
        <v>413</v>
      </c>
      <c r="E83" s="17">
        <v>28000.0</v>
      </c>
      <c r="F83" s="17">
        <v>16000.0</v>
      </c>
      <c r="G83" s="17">
        <v>12000.0</v>
      </c>
    </row>
    <row r="84" ht="15.75" customHeight="1">
      <c r="B84" s="14" t="s">
        <v>420</v>
      </c>
      <c r="C84" s="15">
        <v>432.0</v>
      </c>
      <c r="D84" s="16" t="s">
        <v>413</v>
      </c>
      <c r="E84" s="17">
        <v>28000.0</v>
      </c>
      <c r="F84" s="17">
        <v>16000.0</v>
      </c>
      <c r="G84" s="17">
        <v>12000.0</v>
      </c>
    </row>
    <row r="85" ht="15.75" customHeight="1">
      <c r="B85" s="20" t="s">
        <v>216</v>
      </c>
      <c r="C85" s="2"/>
      <c r="D85" s="3"/>
      <c r="E85" s="21">
        <f t="shared" ref="E85:G85" si="5">SUM(E73:E84)</f>
        <v>554500</v>
      </c>
      <c r="F85" s="21">
        <f t="shared" si="5"/>
        <v>317200</v>
      </c>
      <c r="G85" s="22">
        <f t="shared" si="5"/>
        <v>237300</v>
      </c>
      <c r="H85" s="23" t="s">
        <v>20</v>
      </c>
    </row>
    <row r="86" ht="15.75" customHeight="1">
      <c r="B86" s="20" t="s">
        <v>218</v>
      </c>
      <c r="C86" s="2"/>
      <c r="D86" s="3"/>
      <c r="E86" s="21"/>
      <c r="F86" s="21">
        <f>SUM(F85)</f>
        <v>317200</v>
      </c>
      <c r="G86" s="2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0">
    <mergeCell ref="B2:D2"/>
    <mergeCell ref="E2:E4"/>
    <mergeCell ref="F2:F4"/>
    <mergeCell ref="G2:G4"/>
    <mergeCell ref="B3:D3"/>
    <mergeCell ref="B4:D4"/>
    <mergeCell ref="B9:D9"/>
    <mergeCell ref="B10:D10"/>
    <mergeCell ref="B13:D13"/>
    <mergeCell ref="E13:E15"/>
    <mergeCell ref="F13:F15"/>
    <mergeCell ref="G13:G15"/>
    <mergeCell ref="B14:D14"/>
    <mergeCell ref="B15:D15"/>
    <mergeCell ref="B29:D29"/>
    <mergeCell ref="B30:D30"/>
    <mergeCell ref="B33:D33"/>
    <mergeCell ref="E33:E35"/>
    <mergeCell ref="F33:F35"/>
    <mergeCell ref="G33:G35"/>
    <mergeCell ref="B34:D34"/>
    <mergeCell ref="B35:D35"/>
    <mergeCell ref="B45:D45"/>
    <mergeCell ref="B46:D46"/>
    <mergeCell ref="B49:D49"/>
    <mergeCell ref="E49:E51"/>
    <mergeCell ref="F49:F51"/>
    <mergeCell ref="G49:G51"/>
    <mergeCell ref="B69:D69"/>
    <mergeCell ref="B70:D70"/>
    <mergeCell ref="B85:D85"/>
    <mergeCell ref="B86:D86"/>
    <mergeCell ref="B50:D50"/>
    <mergeCell ref="B51:D51"/>
    <mergeCell ref="B65:D65"/>
    <mergeCell ref="B66:D66"/>
    <mergeCell ref="E69:E71"/>
    <mergeCell ref="F69:F71"/>
    <mergeCell ref="G69:G71"/>
    <mergeCell ref="B71:D71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0.71"/>
    <col customWidth="1" min="3" max="3" width="7.57"/>
    <col customWidth="1" min="4" max="4" width="12.86"/>
    <col customWidth="1" min="5" max="5" width="14.71"/>
    <col customWidth="1" min="6" max="6" width="20.29"/>
    <col customWidth="1" min="7" max="7" width="22.86"/>
    <col customWidth="1" min="8" max="8" width="18.0"/>
    <col customWidth="1" min="9" max="26" width="10.71"/>
  </cols>
  <sheetData>
    <row r="2">
      <c r="B2" s="1" t="s">
        <v>0</v>
      </c>
      <c r="C2" s="2"/>
      <c r="D2" s="3"/>
      <c r="E2" s="4"/>
      <c r="F2" s="4"/>
      <c r="G2" s="4"/>
    </row>
    <row r="3">
      <c r="B3" s="6" t="s">
        <v>421</v>
      </c>
      <c r="C3" s="2"/>
      <c r="D3" s="3"/>
      <c r="E3" s="7"/>
      <c r="F3" s="7"/>
      <c r="G3" s="7"/>
    </row>
    <row r="4">
      <c r="B4" s="8" t="s">
        <v>22</v>
      </c>
      <c r="C4" s="2"/>
      <c r="D4" s="3"/>
      <c r="E4" s="9"/>
      <c r="F4" s="9"/>
      <c r="G4" s="9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</row>
    <row r="6">
      <c r="B6" s="14" t="s">
        <v>47</v>
      </c>
      <c r="C6" s="15">
        <v>287.0</v>
      </c>
      <c r="D6" s="16" t="s">
        <v>422</v>
      </c>
      <c r="E6" s="17">
        <v>240000.0</v>
      </c>
      <c r="F6" s="17">
        <v>168000.0</v>
      </c>
      <c r="G6" s="17">
        <v>48000.0</v>
      </c>
      <c r="I6" s="27"/>
    </row>
    <row r="7">
      <c r="B7" s="14" t="s">
        <v>47</v>
      </c>
      <c r="C7" s="15">
        <v>282.0</v>
      </c>
      <c r="D7" s="16" t="s">
        <v>423</v>
      </c>
      <c r="E7" s="17">
        <v>170000.0</v>
      </c>
      <c r="F7" s="17">
        <v>119000.0</v>
      </c>
      <c r="G7" s="17">
        <v>51000.0</v>
      </c>
      <c r="I7" s="27"/>
    </row>
    <row r="8">
      <c r="B8" s="14" t="s">
        <v>192</v>
      </c>
      <c r="C8" s="15">
        <v>284.0</v>
      </c>
      <c r="D8" s="16" t="s">
        <v>424</v>
      </c>
      <c r="E8" s="17">
        <v>200000.0</v>
      </c>
      <c r="F8" s="17">
        <v>140000.0</v>
      </c>
      <c r="G8" s="17">
        <v>60000.0</v>
      </c>
      <c r="I8" s="27"/>
    </row>
    <row r="9">
      <c r="B9" s="14" t="s">
        <v>60</v>
      </c>
      <c r="C9" s="15">
        <v>286.0</v>
      </c>
      <c r="D9" s="16" t="s">
        <v>425</v>
      </c>
      <c r="E9" s="17">
        <v>230000.0</v>
      </c>
      <c r="F9" s="17">
        <v>161000.0</v>
      </c>
      <c r="G9" s="17">
        <v>69000.0</v>
      </c>
      <c r="I9" s="27"/>
    </row>
    <row r="10">
      <c r="B10" s="14" t="s">
        <v>60</v>
      </c>
      <c r="C10" s="15">
        <v>288.0</v>
      </c>
      <c r="D10" s="16" t="s">
        <v>426</v>
      </c>
      <c r="E10" s="17">
        <v>130000.0</v>
      </c>
      <c r="F10" s="17">
        <v>91000.0</v>
      </c>
      <c r="G10" s="17">
        <v>39000.0</v>
      </c>
      <c r="H10" s="23"/>
      <c r="I10" s="27"/>
    </row>
    <row r="11">
      <c r="B11" s="20" t="s">
        <v>19</v>
      </c>
      <c r="C11" s="2"/>
      <c r="D11" s="3"/>
      <c r="E11" s="21">
        <f t="shared" ref="E11:G11" si="1">SUM(E6:E10)</f>
        <v>970000</v>
      </c>
      <c r="F11" s="21">
        <f t="shared" si="1"/>
        <v>679000</v>
      </c>
      <c r="G11" s="22">
        <f t="shared" si="1"/>
        <v>267000</v>
      </c>
      <c r="H11" s="23" t="s">
        <v>20</v>
      </c>
    </row>
    <row r="12" ht="15.0" customHeight="1">
      <c r="B12" s="20" t="s">
        <v>218</v>
      </c>
      <c r="C12" s="2"/>
      <c r="D12" s="3"/>
      <c r="E12" s="21"/>
      <c r="F12" s="21">
        <f>SUM(F11)</f>
        <v>679000</v>
      </c>
      <c r="G12" s="21"/>
    </row>
    <row r="15">
      <c r="B15" s="1" t="s">
        <v>0</v>
      </c>
      <c r="C15" s="2"/>
      <c r="D15" s="3"/>
      <c r="E15" s="4"/>
      <c r="F15" s="4"/>
      <c r="G15" s="4"/>
    </row>
    <row r="16">
      <c r="B16" s="6" t="s">
        <v>421</v>
      </c>
      <c r="C16" s="2"/>
      <c r="D16" s="3"/>
      <c r="E16" s="7"/>
      <c r="F16" s="7"/>
      <c r="G16" s="7"/>
    </row>
    <row r="17">
      <c r="B17" s="8" t="s">
        <v>64</v>
      </c>
      <c r="C17" s="2"/>
      <c r="D17" s="3"/>
      <c r="E17" s="9"/>
      <c r="F17" s="9"/>
      <c r="G17" s="9"/>
    </row>
    <row r="18">
      <c r="B18" s="11" t="s">
        <v>3</v>
      </c>
      <c r="C18" s="11" t="s">
        <v>4</v>
      </c>
      <c r="D18" s="11" t="s">
        <v>5</v>
      </c>
      <c r="E18" s="11" t="s">
        <v>6</v>
      </c>
      <c r="F18" s="11" t="s">
        <v>7</v>
      </c>
      <c r="G18" s="12" t="s">
        <v>8</v>
      </c>
    </row>
    <row r="19">
      <c r="B19" s="14" t="s">
        <v>98</v>
      </c>
      <c r="C19" s="15">
        <v>283.0</v>
      </c>
      <c r="D19" s="16" t="s">
        <v>427</v>
      </c>
      <c r="E19" s="17">
        <v>180000.0</v>
      </c>
      <c r="F19" s="17">
        <v>117000.0</v>
      </c>
      <c r="G19" s="17">
        <v>63000.0</v>
      </c>
    </row>
    <row r="20">
      <c r="B20" s="20" t="s">
        <v>19</v>
      </c>
      <c r="C20" s="2"/>
      <c r="D20" s="3"/>
      <c r="E20" s="21">
        <f>SUM(E19)</f>
        <v>180000</v>
      </c>
      <c r="F20" s="21">
        <f>SUM(F15:F19)</f>
        <v>117000</v>
      </c>
      <c r="G20" s="22">
        <f>SUM(G19)</f>
        <v>63000</v>
      </c>
      <c r="H20" s="23" t="s">
        <v>20</v>
      </c>
    </row>
    <row r="21" ht="15.0" customHeight="1">
      <c r="B21" s="20" t="s">
        <v>218</v>
      </c>
      <c r="C21" s="2"/>
      <c r="D21" s="3"/>
      <c r="E21" s="21"/>
      <c r="F21" s="21">
        <f>SUM(F20)</f>
        <v>117000</v>
      </c>
      <c r="G21" s="21"/>
    </row>
    <row r="23" ht="15.75" customHeight="1"/>
    <row r="24" ht="15.75" customHeight="1">
      <c r="B24" s="1" t="s">
        <v>0</v>
      </c>
      <c r="C24" s="2"/>
      <c r="D24" s="3"/>
      <c r="E24" s="28"/>
      <c r="F24" s="28"/>
      <c r="G24" s="28"/>
    </row>
    <row r="25" ht="15.75" customHeight="1">
      <c r="B25" s="6" t="s">
        <v>421</v>
      </c>
      <c r="C25" s="2"/>
      <c r="D25" s="3"/>
      <c r="E25" s="7"/>
      <c r="F25" s="7"/>
      <c r="G25" s="7"/>
    </row>
    <row r="26" ht="15.75" customHeight="1">
      <c r="B26" s="8" t="s">
        <v>101</v>
      </c>
      <c r="C26" s="2"/>
      <c r="D26" s="3"/>
      <c r="E26" s="9"/>
      <c r="F26" s="9"/>
      <c r="G26" s="9"/>
    </row>
    <row r="27" ht="15.75" customHeight="1">
      <c r="B27" s="47" t="s">
        <v>3</v>
      </c>
      <c r="C27" s="47" t="s">
        <v>4</v>
      </c>
      <c r="D27" s="47" t="s">
        <v>5</v>
      </c>
      <c r="E27" s="47" t="s">
        <v>6</v>
      </c>
      <c r="F27" s="47" t="s">
        <v>7</v>
      </c>
      <c r="G27" s="48" t="s">
        <v>8</v>
      </c>
    </row>
    <row r="28" ht="15.75" customHeight="1">
      <c r="B28" s="14" t="s">
        <v>114</v>
      </c>
      <c r="C28" s="15">
        <v>285.0</v>
      </c>
      <c r="D28" s="16" t="s">
        <v>428</v>
      </c>
      <c r="E28" s="17">
        <v>220000.0</v>
      </c>
      <c r="F28" s="17">
        <v>143000.0</v>
      </c>
      <c r="G28" s="17">
        <v>77000.0</v>
      </c>
    </row>
    <row r="29" ht="15.75" customHeight="1">
      <c r="B29" s="14" t="s">
        <v>118</v>
      </c>
      <c r="C29" s="15">
        <v>290.0</v>
      </c>
      <c r="D29" s="16" t="s">
        <v>429</v>
      </c>
      <c r="E29" s="17">
        <v>250000.0</v>
      </c>
      <c r="F29" s="17">
        <v>162500.0</v>
      </c>
      <c r="G29" s="17">
        <v>87500.0</v>
      </c>
    </row>
    <row r="30" ht="15.75" customHeight="1">
      <c r="B30" s="20" t="s">
        <v>216</v>
      </c>
      <c r="C30" s="2"/>
      <c r="D30" s="3"/>
      <c r="E30" s="21">
        <f t="shared" ref="E30:G30" si="2">SUM(E28:E29)</f>
        <v>470000</v>
      </c>
      <c r="F30" s="21">
        <f t="shared" si="2"/>
        <v>305500</v>
      </c>
      <c r="G30" s="22">
        <f t="shared" si="2"/>
        <v>164500</v>
      </c>
      <c r="H30" s="23" t="s">
        <v>20</v>
      </c>
    </row>
    <row r="31" ht="15.75" customHeight="1">
      <c r="B31" s="20" t="s">
        <v>218</v>
      </c>
      <c r="C31" s="2"/>
      <c r="D31" s="3"/>
      <c r="E31" s="21"/>
      <c r="F31" s="21">
        <f>SUM(F30)</f>
        <v>305500</v>
      </c>
      <c r="G31" s="21"/>
    </row>
    <row r="32" ht="15.75" customHeight="1"/>
    <row r="33" ht="15.75" customHeight="1"/>
    <row r="34" ht="15.75" customHeight="1">
      <c r="B34" s="1" t="s">
        <v>0</v>
      </c>
      <c r="C34" s="2"/>
      <c r="D34" s="3"/>
      <c r="E34" s="28"/>
      <c r="F34" s="28"/>
      <c r="G34" s="28"/>
    </row>
    <row r="35" ht="15.75" customHeight="1">
      <c r="B35" s="6" t="s">
        <v>421</v>
      </c>
      <c r="C35" s="2"/>
      <c r="D35" s="3"/>
      <c r="E35" s="7"/>
      <c r="F35" s="7"/>
      <c r="G35" s="7"/>
    </row>
    <row r="36" ht="15.75" customHeight="1">
      <c r="B36" s="8" t="s">
        <v>126</v>
      </c>
      <c r="C36" s="2"/>
      <c r="D36" s="3"/>
      <c r="E36" s="9"/>
      <c r="F36" s="9"/>
      <c r="G36" s="9"/>
    </row>
    <row r="37" ht="15.75" customHeight="1">
      <c r="B37" s="47" t="s">
        <v>3</v>
      </c>
      <c r="C37" s="47" t="s">
        <v>4</v>
      </c>
      <c r="D37" s="47" t="s">
        <v>5</v>
      </c>
      <c r="E37" s="47" t="s">
        <v>6</v>
      </c>
      <c r="F37" s="47" t="s">
        <v>7</v>
      </c>
      <c r="G37" s="48" t="s">
        <v>8</v>
      </c>
    </row>
    <row r="38" ht="15.75" customHeight="1">
      <c r="B38" s="14" t="s">
        <v>284</v>
      </c>
      <c r="C38" s="15">
        <v>285.0</v>
      </c>
      <c r="D38" s="16" t="s">
        <v>430</v>
      </c>
      <c r="E38" s="17">
        <v>220000.0</v>
      </c>
      <c r="F38" s="17">
        <v>143000.0</v>
      </c>
      <c r="G38" s="17">
        <v>77000.0</v>
      </c>
    </row>
    <row r="39" ht="15.75" customHeight="1">
      <c r="B39" s="14" t="s">
        <v>131</v>
      </c>
      <c r="C39" s="15">
        <v>280.0</v>
      </c>
      <c r="D39" s="16" t="s">
        <v>431</v>
      </c>
      <c r="E39" s="17">
        <v>130000.0</v>
      </c>
      <c r="F39" s="17">
        <v>84500.0</v>
      </c>
      <c r="G39" s="17">
        <v>45500.0</v>
      </c>
    </row>
    <row r="40" ht="15.75" customHeight="1">
      <c r="B40" s="14" t="s">
        <v>131</v>
      </c>
      <c r="C40" s="15">
        <v>290.0</v>
      </c>
      <c r="D40" s="16" t="s">
        <v>432</v>
      </c>
      <c r="E40" s="17">
        <v>250000.0</v>
      </c>
      <c r="F40" s="17">
        <v>162500.0</v>
      </c>
      <c r="G40" s="17">
        <v>87500.0</v>
      </c>
    </row>
    <row r="41" ht="15.75" customHeight="1">
      <c r="B41" s="14" t="s">
        <v>433</v>
      </c>
      <c r="C41" s="15">
        <v>283.0</v>
      </c>
      <c r="D41" s="16" t="s">
        <v>434</v>
      </c>
      <c r="E41" s="17">
        <v>180000.0</v>
      </c>
      <c r="F41" s="17">
        <v>117000.0</v>
      </c>
      <c r="G41" s="17">
        <v>63000.0</v>
      </c>
    </row>
    <row r="42" ht="15.75" customHeight="1">
      <c r="B42" s="14" t="s">
        <v>435</v>
      </c>
      <c r="C42" s="15">
        <v>285.0</v>
      </c>
      <c r="D42" s="16" t="s">
        <v>430</v>
      </c>
      <c r="E42" s="17">
        <v>220000.0</v>
      </c>
      <c r="F42" s="17">
        <v>143000.0</v>
      </c>
      <c r="G42" s="17">
        <v>77000.0</v>
      </c>
    </row>
    <row r="43" ht="15.75" customHeight="1">
      <c r="B43" s="20" t="s">
        <v>19</v>
      </c>
      <c r="C43" s="2"/>
      <c r="D43" s="3"/>
      <c r="E43" s="21">
        <f t="shared" ref="E43:G43" si="3">SUM(E38:E42)</f>
        <v>1000000</v>
      </c>
      <c r="F43" s="21">
        <f t="shared" si="3"/>
        <v>650000</v>
      </c>
      <c r="G43" s="22">
        <f t="shared" si="3"/>
        <v>350000</v>
      </c>
      <c r="H43" s="23" t="s">
        <v>20</v>
      </c>
    </row>
    <row r="44" ht="15.75" customHeight="1">
      <c r="B44" s="20" t="s">
        <v>218</v>
      </c>
      <c r="C44" s="2"/>
      <c r="D44" s="3"/>
      <c r="E44" s="21"/>
      <c r="F44" s="21">
        <f>SUM(F43)</f>
        <v>650000</v>
      </c>
      <c r="G44" s="21"/>
    </row>
    <row r="45" ht="15.75" customHeight="1"/>
    <row r="46" ht="15.75" customHeight="1"/>
    <row r="47" ht="15.75" customHeight="1">
      <c r="B47" s="1" t="s">
        <v>0</v>
      </c>
      <c r="C47" s="2"/>
      <c r="D47" s="3"/>
      <c r="E47" s="28"/>
      <c r="F47" s="28"/>
      <c r="G47" s="28"/>
    </row>
    <row r="48" ht="15.75" customHeight="1">
      <c r="B48" s="6" t="s">
        <v>421</v>
      </c>
      <c r="C48" s="2"/>
      <c r="D48" s="3"/>
      <c r="E48" s="7"/>
      <c r="F48" s="7"/>
      <c r="G48" s="7"/>
    </row>
    <row r="49" ht="15.75" customHeight="1">
      <c r="B49" s="8" t="s">
        <v>157</v>
      </c>
      <c r="C49" s="2"/>
      <c r="D49" s="3"/>
      <c r="E49" s="9"/>
      <c r="F49" s="9"/>
      <c r="G49" s="9"/>
    </row>
    <row r="50" ht="15.75" customHeight="1">
      <c r="B50" s="47" t="s">
        <v>3</v>
      </c>
      <c r="C50" s="47" t="s">
        <v>4</v>
      </c>
      <c r="D50" s="47" t="s">
        <v>5</v>
      </c>
      <c r="E50" s="47" t="s">
        <v>6</v>
      </c>
      <c r="F50" s="47" t="s">
        <v>7</v>
      </c>
      <c r="G50" s="48" t="s">
        <v>8</v>
      </c>
    </row>
    <row r="51" ht="15.75" customHeight="1">
      <c r="B51" s="14" t="s">
        <v>164</v>
      </c>
      <c r="C51" s="15">
        <v>285.0</v>
      </c>
      <c r="D51" s="16" t="s">
        <v>436</v>
      </c>
      <c r="E51" s="17">
        <v>200000.0</v>
      </c>
      <c r="F51" s="17">
        <v>130000.0</v>
      </c>
      <c r="G51" s="17">
        <v>70000.0</v>
      </c>
    </row>
    <row r="52" ht="15.75" customHeight="1">
      <c r="B52" s="20" t="s">
        <v>19</v>
      </c>
      <c r="C52" s="2"/>
      <c r="D52" s="3"/>
      <c r="E52" s="21">
        <f t="shared" ref="E52:G52" si="4">SUM(E47:E51)</f>
        <v>200000</v>
      </c>
      <c r="F52" s="21">
        <f t="shared" si="4"/>
        <v>130000</v>
      </c>
      <c r="G52" s="22">
        <f t="shared" si="4"/>
        <v>70000</v>
      </c>
      <c r="H52" s="23" t="s">
        <v>20</v>
      </c>
    </row>
    <row r="53" ht="15.75" customHeight="1">
      <c r="B53" s="20" t="s">
        <v>218</v>
      </c>
      <c r="C53" s="2"/>
      <c r="D53" s="3"/>
      <c r="E53" s="21"/>
      <c r="F53" s="21">
        <f>SUM(F52)</f>
        <v>130000</v>
      </c>
      <c r="G53" s="2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0">
    <mergeCell ref="B2:D2"/>
    <mergeCell ref="E2:E4"/>
    <mergeCell ref="F2:F4"/>
    <mergeCell ref="G2:G4"/>
    <mergeCell ref="B3:D3"/>
    <mergeCell ref="B4:D4"/>
    <mergeCell ref="B11:D11"/>
    <mergeCell ref="B12:D12"/>
    <mergeCell ref="B15:D15"/>
    <mergeCell ref="E15:E17"/>
    <mergeCell ref="F15:F17"/>
    <mergeCell ref="G15:G17"/>
    <mergeCell ref="B16:D16"/>
    <mergeCell ref="B17:D17"/>
    <mergeCell ref="B20:D20"/>
    <mergeCell ref="B21:D21"/>
    <mergeCell ref="B24:D24"/>
    <mergeCell ref="E24:E26"/>
    <mergeCell ref="F24:F26"/>
    <mergeCell ref="G24:G26"/>
    <mergeCell ref="B25:D25"/>
    <mergeCell ref="B26:D26"/>
    <mergeCell ref="B30:D30"/>
    <mergeCell ref="B31:D31"/>
    <mergeCell ref="B34:D34"/>
    <mergeCell ref="E34:E36"/>
    <mergeCell ref="F34:F36"/>
    <mergeCell ref="G34:G36"/>
    <mergeCell ref="B47:D47"/>
    <mergeCell ref="B48:D48"/>
    <mergeCell ref="B52:D52"/>
    <mergeCell ref="B53:D53"/>
    <mergeCell ref="B35:D35"/>
    <mergeCell ref="B36:D36"/>
    <mergeCell ref="B43:D43"/>
    <mergeCell ref="B44:D44"/>
    <mergeCell ref="E47:E49"/>
    <mergeCell ref="F47:F49"/>
    <mergeCell ref="G47:G49"/>
    <mergeCell ref="B49:D49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0.71"/>
    <col customWidth="1" min="3" max="3" width="7.57"/>
    <col customWidth="1" min="4" max="4" width="24.57"/>
    <col customWidth="1" min="5" max="5" width="14.71"/>
    <col customWidth="1" min="6" max="6" width="20.29"/>
    <col customWidth="1" min="7" max="7" width="22.43"/>
    <col customWidth="1" min="8" max="8" width="18.86"/>
    <col customWidth="1" min="9" max="26" width="10.71"/>
  </cols>
  <sheetData>
    <row r="2">
      <c r="B2" s="1" t="s">
        <v>0</v>
      </c>
      <c r="C2" s="2"/>
      <c r="D2" s="3"/>
      <c r="E2" s="4"/>
      <c r="F2" s="4"/>
      <c r="G2" s="4"/>
    </row>
    <row r="3">
      <c r="B3" s="6" t="s">
        <v>437</v>
      </c>
      <c r="C3" s="2"/>
      <c r="D3" s="3"/>
      <c r="E3" s="7"/>
      <c r="F3" s="7"/>
      <c r="G3" s="7"/>
    </row>
    <row r="4">
      <c r="B4" s="8" t="s">
        <v>22</v>
      </c>
      <c r="C4" s="2"/>
      <c r="D4" s="3"/>
      <c r="E4" s="9"/>
      <c r="F4" s="9"/>
      <c r="G4" s="9"/>
    </row>
    <row r="5"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2" t="s">
        <v>8</v>
      </c>
    </row>
    <row r="6">
      <c r="B6" s="14" t="s">
        <v>29</v>
      </c>
      <c r="C6" s="15">
        <v>563.0</v>
      </c>
      <c r="D6" s="15" t="s">
        <v>438</v>
      </c>
      <c r="E6" s="17">
        <v>320000.0</v>
      </c>
      <c r="F6" s="17">
        <v>229000.0</v>
      </c>
      <c r="G6" s="17">
        <v>91000.0</v>
      </c>
    </row>
    <row r="7">
      <c r="B7" s="14" t="s">
        <v>192</v>
      </c>
      <c r="C7" s="15">
        <v>562.0</v>
      </c>
      <c r="D7" s="16" t="s">
        <v>439</v>
      </c>
      <c r="E7" s="17">
        <v>265000.0</v>
      </c>
      <c r="F7" s="17">
        <v>189000.0</v>
      </c>
      <c r="G7" s="17">
        <v>76000.0</v>
      </c>
    </row>
    <row r="8">
      <c r="B8" s="14" t="s">
        <v>54</v>
      </c>
      <c r="C8" s="15">
        <v>562.0</v>
      </c>
      <c r="D8" s="16" t="s">
        <v>439</v>
      </c>
      <c r="E8" s="17">
        <v>265000.0</v>
      </c>
      <c r="F8" s="17">
        <v>189000.0</v>
      </c>
      <c r="G8" s="17">
        <v>76000.0</v>
      </c>
    </row>
    <row r="9">
      <c r="B9" s="20" t="s">
        <v>19</v>
      </c>
      <c r="C9" s="2"/>
      <c r="D9" s="3"/>
      <c r="E9" s="21">
        <f t="shared" ref="E9:G9" si="1">SUM(E6:E8)</f>
        <v>850000</v>
      </c>
      <c r="F9" s="21">
        <f t="shared" si="1"/>
        <v>607000</v>
      </c>
      <c r="G9" s="22">
        <f t="shared" si="1"/>
        <v>243000</v>
      </c>
      <c r="H9" s="23" t="s">
        <v>20</v>
      </c>
    </row>
    <row r="10" ht="15.0" customHeight="1">
      <c r="B10" s="20" t="s">
        <v>218</v>
      </c>
      <c r="C10" s="2"/>
      <c r="D10" s="3"/>
      <c r="E10" s="21"/>
      <c r="F10" s="21">
        <f>SUM(F9)</f>
        <v>607000</v>
      </c>
      <c r="G10" s="21"/>
    </row>
    <row r="13">
      <c r="B13" s="1" t="s">
        <v>0</v>
      </c>
      <c r="C13" s="2"/>
      <c r="D13" s="3"/>
      <c r="E13" s="4"/>
      <c r="F13" s="4"/>
      <c r="G13" s="4"/>
    </row>
    <row r="14">
      <c r="B14" s="6" t="s">
        <v>437</v>
      </c>
      <c r="C14" s="2"/>
      <c r="D14" s="3"/>
      <c r="E14" s="7"/>
      <c r="F14" s="7"/>
      <c r="G14" s="7"/>
    </row>
    <row r="15">
      <c r="B15" s="8" t="s">
        <v>64</v>
      </c>
      <c r="C15" s="2"/>
      <c r="D15" s="3"/>
      <c r="E15" s="9"/>
      <c r="F15" s="9"/>
      <c r="G15" s="9"/>
    </row>
    <row r="16">
      <c r="B16" s="11" t="s">
        <v>3</v>
      </c>
      <c r="C16" s="11" t="s">
        <v>4</v>
      </c>
      <c r="D16" s="11" t="s">
        <v>5</v>
      </c>
      <c r="E16" s="11" t="s">
        <v>6</v>
      </c>
      <c r="F16" s="11" t="s">
        <v>7</v>
      </c>
      <c r="G16" s="12" t="s">
        <v>8</v>
      </c>
    </row>
    <row r="17">
      <c r="B17" s="14" t="s">
        <v>73</v>
      </c>
      <c r="C17" s="15">
        <v>562.0</v>
      </c>
      <c r="D17" s="15" t="s">
        <v>439</v>
      </c>
      <c r="E17" s="17">
        <v>265000.0</v>
      </c>
      <c r="F17" s="17">
        <v>172250.0</v>
      </c>
      <c r="G17" s="17">
        <v>92750.0</v>
      </c>
    </row>
    <row r="18">
      <c r="B18" s="14" t="s">
        <v>73</v>
      </c>
      <c r="C18" s="15">
        <v>562.0</v>
      </c>
      <c r="D18" s="15" t="s">
        <v>439</v>
      </c>
      <c r="E18" s="17">
        <v>265000.0</v>
      </c>
      <c r="F18" s="17">
        <v>172250.0</v>
      </c>
      <c r="G18" s="17">
        <v>92750.0</v>
      </c>
    </row>
    <row r="19">
      <c r="B19" s="14" t="s">
        <v>83</v>
      </c>
      <c r="C19" s="15">
        <v>562.0</v>
      </c>
      <c r="D19" s="15" t="s">
        <v>439</v>
      </c>
      <c r="E19" s="17">
        <v>265000.0</v>
      </c>
      <c r="F19" s="17">
        <v>172250.0</v>
      </c>
      <c r="G19" s="17">
        <v>92750.0</v>
      </c>
    </row>
    <row r="20">
      <c r="B20" s="14" t="s">
        <v>87</v>
      </c>
      <c r="C20" s="15">
        <v>563.0</v>
      </c>
      <c r="D20" s="15" t="s">
        <v>438</v>
      </c>
      <c r="E20" s="17">
        <v>320000.0</v>
      </c>
      <c r="F20" s="17">
        <v>208000.0</v>
      </c>
      <c r="G20" s="17">
        <v>112000.0</v>
      </c>
    </row>
    <row r="21">
      <c r="B21" s="14" t="s">
        <v>87</v>
      </c>
      <c r="C21" s="15">
        <v>563.0</v>
      </c>
      <c r="D21" s="15" t="s">
        <v>438</v>
      </c>
      <c r="E21" s="17">
        <v>320000.0</v>
      </c>
      <c r="F21" s="17">
        <v>208000.0</v>
      </c>
      <c r="G21" s="17">
        <v>112000.0</v>
      </c>
    </row>
    <row r="22" ht="15.75" customHeight="1">
      <c r="B22" s="20" t="s">
        <v>19</v>
      </c>
      <c r="C22" s="2"/>
      <c r="D22" s="3"/>
      <c r="E22" s="21">
        <f t="shared" ref="E22:G22" si="2">SUM(E17:E21)</f>
        <v>1435000</v>
      </c>
      <c r="F22" s="21">
        <f t="shared" si="2"/>
        <v>932750</v>
      </c>
      <c r="G22" s="22">
        <f t="shared" si="2"/>
        <v>502250</v>
      </c>
      <c r="H22" s="23" t="s">
        <v>20</v>
      </c>
    </row>
    <row r="23" ht="15.75" customHeight="1">
      <c r="B23" s="20" t="s">
        <v>218</v>
      </c>
      <c r="C23" s="2"/>
      <c r="D23" s="3"/>
      <c r="E23" s="21"/>
      <c r="F23" s="21">
        <f>SUM(F22)</f>
        <v>932750</v>
      </c>
      <c r="G23" s="21"/>
    </row>
    <row r="24" ht="15.75" customHeight="1"/>
    <row r="25" ht="15.75" customHeight="1"/>
    <row r="26" ht="15.75" customHeight="1">
      <c r="B26" s="1" t="s">
        <v>0</v>
      </c>
      <c r="C26" s="2"/>
      <c r="D26" s="3"/>
      <c r="E26" s="28"/>
      <c r="F26" s="28"/>
      <c r="G26" s="28"/>
    </row>
    <row r="27" ht="15.75" customHeight="1">
      <c r="B27" s="6" t="s">
        <v>437</v>
      </c>
      <c r="C27" s="2"/>
      <c r="D27" s="3"/>
      <c r="E27" s="7"/>
      <c r="F27" s="7"/>
      <c r="G27" s="7"/>
    </row>
    <row r="28" ht="15.75" customHeight="1">
      <c r="B28" s="8" t="s">
        <v>101</v>
      </c>
      <c r="C28" s="2"/>
      <c r="D28" s="3"/>
      <c r="E28" s="9"/>
      <c r="F28" s="9"/>
      <c r="G28" s="9"/>
    </row>
    <row r="29" ht="15.75" customHeight="1">
      <c r="B29" s="47" t="s">
        <v>3</v>
      </c>
      <c r="C29" s="47" t="s">
        <v>4</v>
      </c>
      <c r="D29" s="47" t="s">
        <v>5</v>
      </c>
      <c r="E29" s="47" t="s">
        <v>6</v>
      </c>
      <c r="F29" s="47" t="s">
        <v>7</v>
      </c>
      <c r="G29" s="48" t="s">
        <v>8</v>
      </c>
    </row>
    <row r="30" ht="15.75" customHeight="1">
      <c r="B30" s="14" t="s">
        <v>104</v>
      </c>
      <c r="C30" s="15">
        <v>562.0</v>
      </c>
      <c r="D30" s="15" t="s">
        <v>439</v>
      </c>
      <c r="E30" s="17">
        <v>265000.0</v>
      </c>
      <c r="F30" s="17">
        <v>172250.0</v>
      </c>
      <c r="G30" s="17">
        <v>92750.0</v>
      </c>
      <c r="H30" s="23"/>
    </row>
    <row r="31" ht="15.75" customHeight="1">
      <c r="B31" s="20" t="s">
        <v>19</v>
      </c>
      <c r="C31" s="2"/>
      <c r="D31" s="3"/>
      <c r="E31" s="21">
        <f t="shared" ref="E31:G31" si="3">SUM(E26:E30)</f>
        <v>265000</v>
      </c>
      <c r="F31" s="21">
        <f t="shared" si="3"/>
        <v>172250</v>
      </c>
      <c r="G31" s="22">
        <f t="shared" si="3"/>
        <v>92750</v>
      </c>
      <c r="H31" s="23" t="s">
        <v>20</v>
      </c>
    </row>
    <row r="32" ht="15.75" customHeight="1">
      <c r="B32" s="20" t="s">
        <v>218</v>
      </c>
      <c r="C32" s="2"/>
      <c r="D32" s="3"/>
      <c r="E32" s="21"/>
      <c r="F32" s="21">
        <f>SUM(F31)</f>
        <v>172250</v>
      </c>
      <c r="G32" s="21"/>
    </row>
    <row r="33" ht="15.75" customHeight="1">
      <c r="B33" s="24"/>
      <c r="C33" s="25"/>
      <c r="D33" s="25"/>
      <c r="E33" s="26"/>
      <c r="F33" s="26"/>
      <c r="G33" s="26"/>
    </row>
    <row r="34" ht="15.75" customHeight="1"/>
    <row r="35" ht="15.75" customHeight="1">
      <c r="B35" s="1" t="s">
        <v>0</v>
      </c>
      <c r="C35" s="2"/>
      <c r="D35" s="3"/>
      <c r="E35" s="28"/>
      <c r="F35" s="28"/>
      <c r="G35" s="28"/>
    </row>
    <row r="36" ht="15.75" customHeight="1">
      <c r="B36" s="6" t="s">
        <v>437</v>
      </c>
      <c r="C36" s="2"/>
      <c r="D36" s="3"/>
      <c r="E36" s="7"/>
      <c r="F36" s="7"/>
      <c r="G36" s="7"/>
    </row>
    <row r="37" ht="15.75" customHeight="1">
      <c r="B37" s="8" t="s">
        <v>126</v>
      </c>
      <c r="C37" s="2"/>
      <c r="D37" s="3"/>
      <c r="E37" s="9"/>
      <c r="F37" s="9"/>
      <c r="G37" s="9"/>
    </row>
    <row r="38" ht="15.75" customHeight="1">
      <c r="B38" s="47" t="s">
        <v>3</v>
      </c>
      <c r="C38" s="47" t="s">
        <v>4</v>
      </c>
      <c r="D38" s="47" t="s">
        <v>5</v>
      </c>
      <c r="E38" s="47" t="s">
        <v>6</v>
      </c>
      <c r="F38" s="47" t="s">
        <v>7</v>
      </c>
      <c r="G38" s="48" t="s">
        <v>8</v>
      </c>
    </row>
    <row r="39" ht="15.75" customHeight="1">
      <c r="B39" s="14" t="s">
        <v>341</v>
      </c>
      <c r="C39" s="15">
        <v>562.0</v>
      </c>
      <c r="D39" s="15" t="s">
        <v>439</v>
      </c>
      <c r="E39" s="17">
        <v>265000.0</v>
      </c>
      <c r="F39" s="17">
        <v>172250.0</v>
      </c>
      <c r="G39" s="17">
        <v>92750.0</v>
      </c>
    </row>
    <row r="40" ht="15.75" customHeight="1">
      <c r="B40" s="14" t="s">
        <v>131</v>
      </c>
      <c r="C40" s="15">
        <v>561.0</v>
      </c>
      <c r="D40" s="15" t="s">
        <v>440</v>
      </c>
      <c r="E40" s="17">
        <v>320000.0</v>
      </c>
      <c r="F40" s="17">
        <v>229000.0</v>
      </c>
      <c r="G40" s="17">
        <v>91000.0</v>
      </c>
    </row>
    <row r="41" ht="15.75" customHeight="1">
      <c r="B41" s="14" t="s">
        <v>344</v>
      </c>
      <c r="C41" s="15"/>
      <c r="D41" s="15" t="s">
        <v>441</v>
      </c>
      <c r="E41" s="17">
        <v>360000.0</v>
      </c>
      <c r="F41" s="17">
        <v>234000.0</v>
      </c>
      <c r="G41" s="17">
        <v>126000.0</v>
      </c>
    </row>
    <row r="42" ht="15.75" customHeight="1">
      <c r="B42" s="14" t="s">
        <v>134</v>
      </c>
      <c r="C42" s="15">
        <v>565.0</v>
      </c>
      <c r="D42" s="15" t="s">
        <v>442</v>
      </c>
      <c r="E42" s="17">
        <v>380000.0</v>
      </c>
      <c r="F42" s="17">
        <v>-247000.0</v>
      </c>
      <c r="G42" s="17">
        <v>133000.0</v>
      </c>
    </row>
    <row r="43" ht="15.75" customHeight="1">
      <c r="B43" s="14" t="s">
        <v>134</v>
      </c>
      <c r="C43" s="15">
        <v>565.0</v>
      </c>
      <c r="D43" s="15" t="s">
        <v>442</v>
      </c>
      <c r="E43" s="17">
        <v>380000.0</v>
      </c>
      <c r="F43" s="17">
        <v>-247000.0</v>
      </c>
      <c r="G43" s="17">
        <v>133000.0</v>
      </c>
    </row>
    <row r="44" ht="15.75" customHeight="1">
      <c r="B44" s="14" t="s">
        <v>147</v>
      </c>
      <c r="C44" s="15">
        <v>565.0</v>
      </c>
      <c r="D44" s="15" t="s">
        <v>443</v>
      </c>
      <c r="E44" s="17">
        <v>380000.0</v>
      </c>
      <c r="F44" s="17">
        <v>247000.0</v>
      </c>
      <c r="G44" s="17">
        <v>133000.0</v>
      </c>
    </row>
    <row r="45" ht="15.75" customHeight="1">
      <c r="B45" s="14" t="s">
        <v>151</v>
      </c>
      <c r="C45" s="15">
        <v>563.0</v>
      </c>
      <c r="D45" s="15" t="s">
        <v>438</v>
      </c>
      <c r="E45" s="17">
        <v>320000.0</v>
      </c>
      <c r="F45" s="17">
        <v>208000.0</v>
      </c>
      <c r="G45" s="17">
        <v>112000.0</v>
      </c>
    </row>
    <row r="46" ht="15.75" customHeight="1">
      <c r="B46" s="14" t="s">
        <v>435</v>
      </c>
      <c r="C46" s="15">
        <v>563.0</v>
      </c>
      <c r="D46" s="15" t="s">
        <v>438</v>
      </c>
      <c r="E46" s="17">
        <v>320000.0</v>
      </c>
      <c r="F46" s="17">
        <v>208000.0</v>
      </c>
      <c r="G46" s="17">
        <v>112000.0</v>
      </c>
    </row>
    <row r="47" ht="15.75" customHeight="1">
      <c r="B47" s="20" t="s">
        <v>19</v>
      </c>
      <c r="C47" s="2"/>
      <c r="D47" s="3"/>
      <c r="E47" s="33">
        <f>SUM(E39:E46)</f>
        <v>2725000</v>
      </c>
      <c r="F47" s="21">
        <v>1792250.0</v>
      </c>
      <c r="G47" s="34">
        <f>SUM(G39:G46)</f>
        <v>932750</v>
      </c>
      <c r="H47" s="23" t="s">
        <v>20</v>
      </c>
    </row>
    <row r="48" ht="15.75" customHeight="1">
      <c r="B48" s="35" t="s">
        <v>62</v>
      </c>
      <c r="C48" s="2"/>
      <c r="D48" s="3"/>
      <c r="E48" s="36"/>
      <c r="F48" s="37">
        <v>-494000.0</v>
      </c>
      <c r="G48" s="43"/>
    </row>
    <row r="49" ht="15.75" customHeight="1">
      <c r="B49" s="20" t="s">
        <v>63</v>
      </c>
      <c r="C49" s="2"/>
      <c r="D49" s="3"/>
      <c r="E49" s="21"/>
      <c r="F49" s="39">
        <f>SUM(F47:F48)</f>
        <v>1298250</v>
      </c>
      <c r="G49" s="43"/>
    </row>
    <row r="50" ht="15.75" customHeight="1"/>
    <row r="51" ht="15.75" customHeight="1"/>
    <row r="52" ht="15.75" customHeight="1">
      <c r="B52" s="1" t="s">
        <v>0</v>
      </c>
      <c r="C52" s="2"/>
      <c r="D52" s="3"/>
      <c r="E52" s="28"/>
      <c r="F52" s="28"/>
      <c r="G52" s="28"/>
    </row>
    <row r="53" ht="15.75" customHeight="1">
      <c r="B53" s="6" t="s">
        <v>437</v>
      </c>
      <c r="C53" s="2"/>
      <c r="D53" s="3"/>
      <c r="E53" s="7"/>
      <c r="F53" s="7"/>
      <c r="G53" s="7"/>
    </row>
    <row r="54" ht="15.75" customHeight="1">
      <c r="B54" s="8" t="s">
        <v>157</v>
      </c>
      <c r="C54" s="2"/>
      <c r="D54" s="3"/>
      <c r="E54" s="9"/>
      <c r="F54" s="9"/>
      <c r="G54" s="9"/>
    </row>
    <row r="55" ht="15.75" customHeight="1">
      <c r="B55" s="47" t="s">
        <v>3</v>
      </c>
      <c r="C55" s="47" t="s">
        <v>4</v>
      </c>
      <c r="D55" s="47" t="s">
        <v>5</v>
      </c>
      <c r="E55" s="47" t="s">
        <v>6</v>
      </c>
      <c r="F55" s="47" t="s">
        <v>7</v>
      </c>
      <c r="G55" s="48" t="s">
        <v>8</v>
      </c>
    </row>
    <row r="56" ht="15.75" customHeight="1">
      <c r="B56" s="14" t="s">
        <v>444</v>
      </c>
      <c r="C56" s="15">
        <v>565.0</v>
      </c>
      <c r="D56" s="15" t="s">
        <v>443</v>
      </c>
      <c r="E56" s="17">
        <v>380000.0</v>
      </c>
      <c r="F56" s="17">
        <v>247000.0</v>
      </c>
      <c r="G56" s="17">
        <v>133000.0</v>
      </c>
    </row>
    <row r="57" ht="15.75" customHeight="1">
      <c r="B57" s="14" t="s">
        <v>171</v>
      </c>
      <c r="C57" s="15">
        <v>562.0</v>
      </c>
      <c r="D57" s="15" t="s">
        <v>439</v>
      </c>
      <c r="E57" s="17">
        <v>265000.0</v>
      </c>
      <c r="F57" s="17">
        <v>189000.0</v>
      </c>
      <c r="G57" s="17">
        <v>76000.0</v>
      </c>
    </row>
    <row r="58" ht="15.75" customHeight="1">
      <c r="B58" s="20" t="s">
        <v>19</v>
      </c>
      <c r="C58" s="2"/>
      <c r="D58" s="3"/>
      <c r="E58" s="33">
        <f t="shared" ref="E58:G58" si="4">SUM(E56:E57)</f>
        <v>645000</v>
      </c>
      <c r="F58" s="21">
        <f t="shared" si="4"/>
        <v>436000</v>
      </c>
      <c r="G58" s="34">
        <f t="shared" si="4"/>
        <v>209000</v>
      </c>
      <c r="H58" s="23" t="s">
        <v>20</v>
      </c>
    </row>
    <row r="59" ht="15.75" customHeight="1">
      <c r="B59" s="35" t="s">
        <v>445</v>
      </c>
      <c r="C59" s="2"/>
      <c r="D59" s="3"/>
      <c r="E59" s="36"/>
      <c r="F59" s="37">
        <v>247000.0</v>
      </c>
      <c r="G59" s="43"/>
    </row>
    <row r="60" ht="15.75" customHeight="1">
      <c r="B60" s="20" t="s">
        <v>63</v>
      </c>
      <c r="C60" s="2"/>
      <c r="D60" s="3"/>
      <c r="E60" s="21"/>
      <c r="F60" s="39">
        <f>SUM(F58:F59)</f>
        <v>683000</v>
      </c>
      <c r="G60" s="43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2">
    <mergeCell ref="B2:D2"/>
    <mergeCell ref="E2:E4"/>
    <mergeCell ref="F2:F4"/>
    <mergeCell ref="G2:G4"/>
    <mergeCell ref="B3:D3"/>
    <mergeCell ref="B4:D4"/>
    <mergeCell ref="B9:D9"/>
    <mergeCell ref="B10:D10"/>
    <mergeCell ref="B13:D13"/>
    <mergeCell ref="E13:E15"/>
    <mergeCell ref="F13:F15"/>
    <mergeCell ref="G13:G15"/>
    <mergeCell ref="B14:D14"/>
    <mergeCell ref="B15:D15"/>
    <mergeCell ref="B22:D22"/>
    <mergeCell ref="B23:D23"/>
    <mergeCell ref="B26:D26"/>
    <mergeCell ref="E26:E28"/>
    <mergeCell ref="F26:F28"/>
    <mergeCell ref="G26:G28"/>
    <mergeCell ref="B27:D27"/>
    <mergeCell ref="B28:D28"/>
    <mergeCell ref="B31:D31"/>
    <mergeCell ref="B32:D32"/>
    <mergeCell ref="B35:D35"/>
    <mergeCell ref="E35:E37"/>
    <mergeCell ref="F35:F37"/>
    <mergeCell ref="G35:G37"/>
    <mergeCell ref="F52:F54"/>
    <mergeCell ref="G52:G54"/>
    <mergeCell ref="B53:D53"/>
    <mergeCell ref="B54:D54"/>
    <mergeCell ref="B58:D58"/>
    <mergeCell ref="B59:D59"/>
    <mergeCell ref="B60:D60"/>
    <mergeCell ref="B36:D36"/>
    <mergeCell ref="B37:D37"/>
    <mergeCell ref="B47:D47"/>
    <mergeCell ref="B48:D48"/>
    <mergeCell ref="B49:D49"/>
    <mergeCell ref="B52:D52"/>
    <mergeCell ref="E52:E54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57"/>
    <col customWidth="1" min="3" max="3" width="28.14"/>
    <col customWidth="1" min="4" max="4" width="26.14"/>
    <col customWidth="1" min="5" max="26" width="10.71"/>
  </cols>
  <sheetData>
    <row r="2">
      <c r="B2" s="77" t="s">
        <v>446</v>
      </c>
      <c r="C2" s="2"/>
      <c r="D2" s="3"/>
    </row>
    <row r="3">
      <c r="B3" s="78" t="s">
        <v>19</v>
      </c>
      <c r="C3" s="78" t="s">
        <v>447</v>
      </c>
      <c r="D3" s="78" t="s">
        <v>448</v>
      </c>
    </row>
    <row r="4">
      <c r="B4" s="79">
        <v>3098274.0</v>
      </c>
      <c r="C4" s="79">
        <v>1875441.0</v>
      </c>
      <c r="D4" s="79">
        <v>1323833.0</v>
      </c>
    </row>
    <row r="7">
      <c r="B7" s="77" t="s">
        <v>449</v>
      </c>
      <c r="C7" s="2"/>
      <c r="D7" s="3"/>
    </row>
    <row r="8">
      <c r="B8" s="78" t="s">
        <v>19</v>
      </c>
      <c r="C8" s="78" t="s">
        <v>447</v>
      </c>
      <c r="D8" s="78" t="s">
        <v>448</v>
      </c>
    </row>
    <row r="9">
      <c r="B9" s="79">
        <v>1.6787137E7</v>
      </c>
      <c r="C9" s="79">
        <v>9926064.0</v>
      </c>
      <c r="D9" s="79">
        <v>6860673.0</v>
      </c>
    </row>
    <row r="12">
      <c r="B12" s="77" t="s">
        <v>450</v>
      </c>
      <c r="C12" s="2"/>
      <c r="D12" s="3"/>
    </row>
    <row r="13">
      <c r="B13" s="78" t="s">
        <v>19</v>
      </c>
      <c r="C13" s="78" t="s">
        <v>447</v>
      </c>
      <c r="D13" s="78" t="s">
        <v>448</v>
      </c>
    </row>
    <row r="14">
      <c r="B14" s="79">
        <v>2.3506292E7</v>
      </c>
      <c r="C14" s="79">
        <v>1.3966808E7</v>
      </c>
      <c r="D14" s="79">
        <v>9547384.0</v>
      </c>
    </row>
    <row r="17">
      <c r="B17" s="77" t="s">
        <v>451</v>
      </c>
      <c r="C17" s="2"/>
      <c r="D17" s="3"/>
    </row>
    <row r="18">
      <c r="B18" s="78" t="s">
        <v>19</v>
      </c>
      <c r="C18" s="78" t="s">
        <v>447</v>
      </c>
      <c r="D18" s="78" t="s">
        <v>448</v>
      </c>
    </row>
    <row r="19">
      <c r="B19" s="79">
        <v>1.295202E7</v>
      </c>
      <c r="C19" s="79">
        <v>7537464.0</v>
      </c>
      <c r="D19" s="79">
        <f>B19-C19</f>
        <v>5414556</v>
      </c>
    </row>
    <row r="21" ht="15.75" customHeight="1"/>
    <row r="22" ht="15.75" customHeight="1">
      <c r="B22" s="77" t="s">
        <v>452</v>
      </c>
      <c r="C22" s="2"/>
      <c r="D22" s="3"/>
    </row>
    <row r="23" ht="15.75" customHeight="1">
      <c r="B23" s="78" t="s">
        <v>19</v>
      </c>
      <c r="C23" s="78" t="s">
        <v>447</v>
      </c>
      <c r="D23" s="78" t="s">
        <v>448</v>
      </c>
    </row>
    <row r="24" ht="15.75" customHeight="1">
      <c r="B24" s="79">
        <v>2.443535E7</v>
      </c>
      <c r="C24" s="79">
        <v>1.4432242E7</v>
      </c>
      <c r="D24" s="79">
        <v>9909640.0</v>
      </c>
    </row>
    <row r="25" ht="15.75" customHeight="1"/>
    <row r="26" ht="15.75" customHeight="1"/>
    <row r="27" ht="15.75" customHeight="1">
      <c r="B27" s="77" t="s">
        <v>453</v>
      </c>
      <c r="C27" s="2"/>
      <c r="D27" s="3"/>
    </row>
    <row r="28" ht="15.75" customHeight="1">
      <c r="B28" s="78" t="s">
        <v>19</v>
      </c>
      <c r="C28" s="78" t="s">
        <v>447</v>
      </c>
      <c r="D28" s="78" t="s">
        <v>448</v>
      </c>
    </row>
    <row r="29" ht="15.75" customHeight="1">
      <c r="B29" s="79">
        <v>1.07218E7</v>
      </c>
      <c r="C29" s="79">
        <v>6266759.0</v>
      </c>
      <c r="D29" s="79">
        <v>4469541.0</v>
      </c>
    </row>
    <row r="30" ht="15.75" customHeight="1"/>
    <row r="31" ht="15.75" customHeight="1"/>
    <row r="32" ht="15.75" customHeight="1">
      <c r="B32" s="77" t="s">
        <v>454</v>
      </c>
      <c r="C32" s="2"/>
      <c r="D32" s="3"/>
    </row>
    <row r="33" ht="15.75" customHeight="1">
      <c r="B33" s="80" t="s">
        <v>19</v>
      </c>
      <c r="C33" s="80" t="s">
        <v>447</v>
      </c>
      <c r="D33" s="80" t="s">
        <v>448</v>
      </c>
    </row>
    <row r="34" ht="15.75" customHeight="1">
      <c r="B34" s="81"/>
      <c r="C34" s="81"/>
      <c r="D34" s="81"/>
    </row>
    <row r="35" ht="15.75" customHeight="1"/>
    <row r="36" ht="15.75" customHeight="1"/>
    <row r="37" ht="15.75" customHeight="1">
      <c r="B37" s="77" t="s">
        <v>455</v>
      </c>
      <c r="C37" s="2"/>
      <c r="D37" s="3"/>
    </row>
    <row r="38" ht="15.75" customHeight="1">
      <c r="B38" s="78" t="s">
        <v>19</v>
      </c>
      <c r="C38" s="78" t="s">
        <v>447</v>
      </c>
      <c r="D38" s="78" t="s">
        <v>448</v>
      </c>
    </row>
    <row r="39" ht="15.75" customHeight="1">
      <c r="B39" s="79"/>
      <c r="C39" s="79"/>
      <c r="D39" s="79"/>
    </row>
    <row r="40" ht="15.75" customHeight="1"/>
    <row r="41" ht="15.75" customHeight="1"/>
    <row r="42" ht="15.75" customHeight="1">
      <c r="B42" s="77" t="s">
        <v>456</v>
      </c>
      <c r="C42" s="2"/>
      <c r="D42" s="3"/>
    </row>
    <row r="43" ht="15.75" customHeight="1">
      <c r="B43" s="78" t="s">
        <v>19</v>
      </c>
      <c r="C43" s="78" t="s">
        <v>447</v>
      </c>
      <c r="D43" s="78" t="s">
        <v>448</v>
      </c>
    </row>
    <row r="44" ht="15.75" customHeight="1">
      <c r="B44" s="79"/>
      <c r="C44" s="79"/>
      <c r="D44" s="79"/>
    </row>
    <row r="45" ht="15.75" customHeight="1"/>
    <row r="46" ht="15.75" customHeight="1"/>
    <row r="47" ht="15.75" customHeight="1">
      <c r="B47" s="77" t="s">
        <v>457</v>
      </c>
      <c r="C47" s="2"/>
      <c r="D47" s="3"/>
    </row>
    <row r="48" ht="15.75" customHeight="1">
      <c r="B48" s="78" t="s">
        <v>19</v>
      </c>
      <c r="C48" s="78" t="s">
        <v>447</v>
      </c>
      <c r="D48" s="78" t="s">
        <v>448</v>
      </c>
    </row>
    <row r="49" ht="15.75" customHeight="1">
      <c r="B49" s="79"/>
      <c r="C49" s="79"/>
      <c r="D49" s="79"/>
    </row>
    <row r="50" ht="15.75" customHeight="1"/>
    <row r="51" ht="15.75" customHeight="1"/>
    <row r="52" ht="15.75" customHeight="1">
      <c r="B52" s="77" t="s">
        <v>458</v>
      </c>
      <c r="C52" s="2"/>
      <c r="D52" s="3"/>
    </row>
    <row r="53" ht="15.75" customHeight="1">
      <c r="B53" s="78" t="s">
        <v>19</v>
      </c>
      <c r="C53" s="78" t="s">
        <v>447</v>
      </c>
      <c r="D53" s="78" t="s">
        <v>448</v>
      </c>
    </row>
    <row r="54" ht="15.75" customHeight="1">
      <c r="B54" s="79"/>
      <c r="C54" s="79"/>
      <c r="D54" s="79"/>
    </row>
    <row r="55" ht="15.75" customHeight="1"/>
    <row r="56" ht="15.75" customHeight="1"/>
    <row r="57" ht="15.75" customHeight="1">
      <c r="B57" s="77" t="s">
        <v>459</v>
      </c>
      <c r="C57" s="2"/>
      <c r="D57" s="3"/>
    </row>
    <row r="58" ht="15.75" customHeight="1">
      <c r="B58" s="78" t="s">
        <v>19</v>
      </c>
      <c r="C58" s="78" t="s">
        <v>447</v>
      </c>
      <c r="D58" s="78" t="s">
        <v>448</v>
      </c>
    </row>
    <row r="59" ht="15.75" customHeight="1">
      <c r="B59" s="79"/>
      <c r="C59" s="79"/>
      <c r="D59" s="79"/>
    </row>
    <row r="60" ht="15.75" customHeight="1"/>
    <row r="61" ht="15.75" customHeight="1"/>
    <row r="62" ht="15.75" customHeight="1">
      <c r="B62" s="82" t="s">
        <v>460</v>
      </c>
      <c r="C62" s="83"/>
      <c r="D62" s="84"/>
    </row>
    <row r="63" ht="15.75" customHeight="1">
      <c r="B63" s="85"/>
      <c r="C63" s="86"/>
      <c r="D63" s="46"/>
    </row>
    <row r="64" ht="15.75" customHeight="1">
      <c r="B64" s="87" t="s">
        <v>19</v>
      </c>
      <c r="C64" s="87" t="s">
        <v>447</v>
      </c>
      <c r="D64" s="87" t="s">
        <v>448</v>
      </c>
    </row>
    <row r="65" ht="15.75" customHeight="1">
      <c r="B65" s="9"/>
      <c r="C65" s="9"/>
      <c r="D65" s="9"/>
    </row>
    <row r="66" ht="15.75" customHeight="1">
      <c r="B66" s="88">
        <f t="shared" ref="B66:D66" si="1">B4+B9+B14+B19+B24+B29+B34+B39+B44+B49+B54+B59</f>
        <v>91500873</v>
      </c>
      <c r="C66" s="88">
        <f t="shared" si="1"/>
        <v>54004778</v>
      </c>
      <c r="D66" s="88">
        <f t="shared" si="1"/>
        <v>37525627</v>
      </c>
    </row>
    <row r="67" ht="15.75" customHeight="1">
      <c r="B67" s="9"/>
      <c r="C67" s="9"/>
      <c r="D67" s="9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D2"/>
    <mergeCell ref="B7:D7"/>
    <mergeCell ref="B12:D12"/>
    <mergeCell ref="B17:D17"/>
    <mergeCell ref="B22:D22"/>
    <mergeCell ref="B27:D27"/>
    <mergeCell ref="B32:D32"/>
    <mergeCell ref="C64:C65"/>
    <mergeCell ref="D64:D65"/>
    <mergeCell ref="B66:B67"/>
    <mergeCell ref="C66:C67"/>
    <mergeCell ref="D66:D67"/>
    <mergeCell ref="B37:D37"/>
    <mergeCell ref="B42:D42"/>
    <mergeCell ref="B47:D47"/>
    <mergeCell ref="B52:D52"/>
    <mergeCell ref="B57:D57"/>
    <mergeCell ref="B62:D63"/>
    <mergeCell ref="B64:B65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71"/>
    <col customWidth="1" min="2" max="2" width="20.43"/>
    <col customWidth="1" min="3" max="3" width="16.86"/>
    <col customWidth="1" min="4" max="4" width="22.29"/>
    <col customWidth="1" min="5" max="5" width="21.0"/>
    <col customWidth="1" min="6" max="7" width="13.57"/>
    <col customWidth="1" min="8" max="8" width="14.86"/>
    <col customWidth="1" min="9" max="9" width="23.71"/>
    <col customWidth="1" min="10" max="10" width="23.43"/>
    <col customWidth="1" min="11" max="11" width="42.57"/>
    <col customWidth="1" min="12" max="26" width="10.71"/>
  </cols>
  <sheetData>
    <row r="1">
      <c r="B1" s="89" t="s">
        <v>461</v>
      </c>
      <c r="C1" s="89" t="s">
        <v>462</v>
      </c>
      <c r="D1" s="90" t="s">
        <v>5</v>
      </c>
      <c r="E1" s="91" t="s">
        <v>463</v>
      </c>
      <c r="F1" s="90" t="s">
        <v>464</v>
      </c>
      <c r="G1" s="89" t="s">
        <v>465</v>
      </c>
      <c r="H1" s="90" t="s">
        <v>466</v>
      </c>
      <c r="I1" s="90" t="s">
        <v>467</v>
      </c>
      <c r="J1" s="90" t="s">
        <v>468</v>
      </c>
      <c r="K1" s="90" t="s">
        <v>469</v>
      </c>
      <c r="L1" s="92"/>
    </row>
    <row r="2">
      <c r="B2" s="93" t="s">
        <v>470</v>
      </c>
      <c r="C2" s="93">
        <v>99.0</v>
      </c>
      <c r="D2" s="93" t="s">
        <v>44</v>
      </c>
      <c r="E2" s="94">
        <v>46067.0</v>
      </c>
      <c r="F2" s="95">
        <v>210000.0</v>
      </c>
      <c r="G2" s="95">
        <v>70000.0</v>
      </c>
      <c r="H2" s="95">
        <v>140000.0</v>
      </c>
      <c r="I2" s="96">
        <f t="shared" ref="I2:I29" si="1">F2-G2-H2</f>
        <v>0</v>
      </c>
      <c r="J2" s="97" t="s">
        <v>471</v>
      </c>
      <c r="K2" s="93" t="s">
        <v>472</v>
      </c>
      <c r="L2" s="98"/>
    </row>
    <row r="3">
      <c r="B3" s="93" t="s">
        <v>470</v>
      </c>
      <c r="C3" s="93">
        <v>32.0</v>
      </c>
      <c r="D3" s="93" t="s">
        <v>26</v>
      </c>
      <c r="E3" s="94">
        <v>46069.0</v>
      </c>
      <c r="F3" s="95">
        <v>245000.0</v>
      </c>
      <c r="G3" s="95">
        <v>125000.0</v>
      </c>
      <c r="H3" s="95">
        <v>120000.0</v>
      </c>
      <c r="I3" s="96">
        <f t="shared" si="1"/>
        <v>0</v>
      </c>
      <c r="J3" s="97" t="s">
        <v>471</v>
      </c>
      <c r="K3" s="93" t="s">
        <v>472</v>
      </c>
      <c r="L3" s="99"/>
    </row>
    <row r="4">
      <c r="B4" s="93" t="s">
        <v>470</v>
      </c>
      <c r="C4" s="93">
        <v>32.0</v>
      </c>
      <c r="D4" s="93" t="s">
        <v>26</v>
      </c>
      <c r="E4" s="94">
        <v>46069.0</v>
      </c>
      <c r="F4" s="95">
        <v>245000.0</v>
      </c>
      <c r="G4" s="95">
        <v>125000.0</v>
      </c>
      <c r="H4" s="95">
        <v>120000.0</v>
      </c>
      <c r="I4" s="96">
        <f t="shared" si="1"/>
        <v>0</v>
      </c>
      <c r="J4" s="97" t="s">
        <v>471</v>
      </c>
      <c r="K4" s="93" t="s">
        <v>472</v>
      </c>
      <c r="L4" s="99"/>
    </row>
    <row r="5">
      <c r="B5" s="93" t="s">
        <v>470</v>
      </c>
      <c r="C5" s="93">
        <v>13.0</v>
      </c>
      <c r="D5" s="93" t="s">
        <v>74</v>
      </c>
      <c r="E5" s="94">
        <v>46070.0</v>
      </c>
      <c r="F5" s="95">
        <v>140000.0</v>
      </c>
      <c r="G5" s="95">
        <v>70000.0</v>
      </c>
      <c r="H5" s="95">
        <v>70000.0</v>
      </c>
      <c r="I5" s="96">
        <f t="shared" si="1"/>
        <v>0</v>
      </c>
      <c r="J5" s="97" t="s">
        <v>471</v>
      </c>
      <c r="K5" s="93" t="s">
        <v>473</v>
      </c>
      <c r="L5" s="99"/>
    </row>
    <row r="6">
      <c r="B6" s="93" t="s">
        <v>474</v>
      </c>
      <c r="C6" s="93">
        <v>718.0</v>
      </c>
      <c r="D6" s="93" t="s">
        <v>475</v>
      </c>
      <c r="E6" s="94">
        <v>46074.0</v>
      </c>
      <c r="F6" s="95">
        <v>229900.0</v>
      </c>
      <c r="G6" s="95">
        <v>129900.0</v>
      </c>
      <c r="H6" s="95">
        <v>100000.0</v>
      </c>
      <c r="I6" s="96">
        <f t="shared" si="1"/>
        <v>0</v>
      </c>
      <c r="J6" s="97" t="s">
        <v>471</v>
      </c>
      <c r="K6" s="93" t="s">
        <v>472</v>
      </c>
    </row>
    <row r="7">
      <c r="B7" s="93" t="s">
        <v>470</v>
      </c>
      <c r="C7" s="93">
        <v>86.0</v>
      </c>
      <c r="D7" s="93" t="s">
        <v>476</v>
      </c>
      <c r="E7" s="94">
        <v>46077.0</v>
      </c>
      <c r="F7" s="95">
        <v>393750.0</v>
      </c>
      <c r="G7" s="95">
        <v>130000.0</v>
      </c>
      <c r="H7" s="95">
        <v>263750.0</v>
      </c>
      <c r="I7" s="96">
        <f t="shared" si="1"/>
        <v>0</v>
      </c>
      <c r="J7" s="97" t="s">
        <v>471</v>
      </c>
      <c r="K7" s="93" t="s">
        <v>473</v>
      </c>
    </row>
    <row r="8">
      <c r="B8" s="93" t="s">
        <v>470</v>
      </c>
      <c r="C8" s="93">
        <v>39.0</v>
      </c>
      <c r="D8" s="93" t="s">
        <v>48</v>
      </c>
      <c r="E8" s="94">
        <v>46102.0</v>
      </c>
      <c r="F8" s="95">
        <v>245000.0</v>
      </c>
      <c r="G8" s="95">
        <v>150000.0</v>
      </c>
      <c r="H8" s="95">
        <v>95000.0</v>
      </c>
      <c r="I8" s="96">
        <f t="shared" si="1"/>
        <v>0</v>
      </c>
      <c r="J8" s="97" t="s">
        <v>471</v>
      </c>
      <c r="K8" s="93" t="s">
        <v>473</v>
      </c>
    </row>
    <row r="9">
      <c r="B9" s="93" t="s">
        <v>477</v>
      </c>
      <c r="C9" s="93">
        <v>118.0</v>
      </c>
      <c r="D9" s="93" t="s">
        <v>365</v>
      </c>
      <c r="E9" s="94">
        <v>46103.0</v>
      </c>
      <c r="F9" s="95">
        <v>192750.0</v>
      </c>
      <c r="G9" s="95">
        <v>90000.0</v>
      </c>
      <c r="H9" s="95">
        <v>102750.0</v>
      </c>
      <c r="I9" s="96">
        <f t="shared" si="1"/>
        <v>0</v>
      </c>
      <c r="J9" s="97" t="s">
        <v>471</v>
      </c>
      <c r="K9" s="100" t="s">
        <v>478</v>
      </c>
    </row>
    <row r="10">
      <c r="B10" s="93" t="s">
        <v>479</v>
      </c>
      <c r="C10" s="93">
        <v>562.0</v>
      </c>
      <c r="D10" s="93" t="s">
        <v>439</v>
      </c>
      <c r="E10" s="94">
        <v>46116.0</v>
      </c>
      <c r="F10" s="95">
        <v>265000.0</v>
      </c>
      <c r="G10" s="95">
        <v>100000.0</v>
      </c>
      <c r="H10" s="95">
        <v>165000.0</v>
      </c>
      <c r="I10" s="96">
        <f t="shared" si="1"/>
        <v>0</v>
      </c>
      <c r="J10" s="97" t="s">
        <v>471</v>
      </c>
      <c r="K10" s="93" t="s">
        <v>480</v>
      </c>
    </row>
    <row r="11">
      <c r="B11" s="101" t="s">
        <v>479</v>
      </c>
      <c r="C11" s="101">
        <v>561.0</v>
      </c>
      <c r="D11" s="101" t="s">
        <v>481</v>
      </c>
      <c r="E11" s="102">
        <v>46151.0</v>
      </c>
      <c r="F11" s="103">
        <v>320000.0</v>
      </c>
      <c r="G11" s="103">
        <v>100000.0</v>
      </c>
      <c r="H11" s="103"/>
      <c r="I11" s="104">
        <f t="shared" si="1"/>
        <v>220000</v>
      </c>
      <c r="J11" s="105" t="s">
        <v>471</v>
      </c>
      <c r="K11" s="101" t="s">
        <v>482</v>
      </c>
    </row>
    <row r="12">
      <c r="B12" s="106" t="s">
        <v>477</v>
      </c>
      <c r="C12" s="106">
        <v>118.0</v>
      </c>
      <c r="D12" s="106" t="s">
        <v>365</v>
      </c>
      <c r="E12" s="107">
        <v>46154.0</v>
      </c>
      <c r="F12" s="108">
        <v>192500.0</v>
      </c>
      <c r="G12" s="108">
        <v>96250.0</v>
      </c>
      <c r="H12" s="108"/>
      <c r="I12" s="109">
        <f t="shared" si="1"/>
        <v>96250</v>
      </c>
      <c r="J12" s="110" t="s">
        <v>471</v>
      </c>
      <c r="K12" s="106"/>
    </row>
    <row r="13">
      <c r="B13" s="93" t="s">
        <v>479</v>
      </c>
      <c r="C13" s="93"/>
      <c r="D13" s="93" t="s">
        <v>483</v>
      </c>
      <c r="E13" s="94">
        <v>46154.0</v>
      </c>
      <c r="F13" s="95">
        <v>360000.0</v>
      </c>
      <c r="G13" s="95">
        <v>180000.0</v>
      </c>
      <c r="H13" s="95">
        <v>180000.0</v>
      </c>
      <c r="I13" s="96">
        <f t="shared" si="1"/>
        <v>0</v>
      </c>
      <c r="J13" s="97" t="s">
        <v>471</v>
      </c>
      <c r="K13" s="93" t="s">
        <v>482</v>
      </c>
      <c r="L13" s="111"/>
    </row>
    <row r="14">
      <c r="B14" s="93" t="s">
        <v>479</v>
      </c>
      <c r="C14" s="93">
        <v>565.0</v>
      </c>
      <c r="D14" s="93" t="s">
        <v>484</v>
      </c>
      <c r="E14" s="94">
        <v>46155.0</v>
      </c>
      <c r="F14" s="95">
        <v>380000.0</v>
      </c>
      <c r="G14" s="95">
        <v>100000.0</v>
      </c>
      <c r="H14" s="95">
        <v>280000.0</v>
      </c>
      <c r="I14" s="96">
        <f t="shared" si="1"/>
        <v>0</v>
      </c>
      <c r="J14" s="97" t="s">
        <v>471</v>
      </c>
      <c r="K14" s="93" t="s">
        <v>485</v>
      </c>
    </row>
    <row r="15">
      <c r="B15" s="112" t="s">
        <v>479</v>
      </c>
      <c r="C15" s="112">
        <v>565.0</v>
      </c>
      <c r="D15" s="112" t="s">
        <v>484</v>
      </c>
      <c r="E15" s="113">
        <v>46155.0</v>
      </c>
      <c r="F15" s="114">
        <v>380000.0</v>
      </c>
      <c r="G15" s="114">
        <v>200000.0</v>
      </c>
      <c r="H15" s="114"/>
      <c r="I15" s="115">
        <f t="shared" si="1"/>
        <v>180000</v>
      </c>
      <c r="J15" s="116" t="s">
        <v>486</v>
      </c>
      <c r="K15" s="112" t="s">
        <v>487</v>
      </c>
    </row>
    <row r="16">
      <c r="B16" s="43" t="s">
        <v>470</v>
      </c>
      <c r="C16" s="43">
        <v>32.0</v>
      </c>
      <c r="D16" s="43" t="s">
        <v>39</v>
      </c>
      <c r="E16" s="117">
        <v>46155.0</v>
      </c>
      <c r="F16" s="17">
        <v>262500.0</v>
      </c>
      <c r="G16" s="17">
        <v>50000.0</v>
      </c>
      <c r="H16" s="17"/>
      <c r="I16" s="36">
        <f t="shared" si="1"/>
        <v>212500</v>
      </c>
      <c r="J16" s="118" t="s">
        <v>471</v>
      </c>
      <c r="K16" s="43"/>
    </row>
    <row r="17">
      <c r="B17" s="43" t="s">
        <v>477</v>
      </c>
      <c r="C17" s="43">
        <v>118.0</v>
      </c>
      <c r="D17" s="43" t="s">
        <v>365</v>
      </c>
      <c r="E17" s="117">
        <v>46156.0</v>
      </c>
      <c r="F17" s="17">
        <v>192500.0</v>
      </c>
      <c r="G17" s="17">
        <v>100000.0</v>
      </c>
      <c r="H17" s="17"/>
      <c r="I17" s="36">
        <f t="shared" si="1"/>
        <v>92500</v>
      </c>
      <c r="J17" s="118" t="s">
        <v>471</v>
      </c>
      <c r="K17" s="43"/>
    </row>
    <row r="18">
      <c r="B18" s="43" t="s">
        <v>488</v>
      </c>
      <c r="C18" s="43">
        <v>479.0</v>
      </c>
      <c r="D18" s="43" t="s">
        <v>489</v>
      </c>
      <c r="E18" s="117">
        <v>46159.0</v>
      </c>
      <c r="F18" s="17">
        <v>210000.0</v>
      </c>
      <c r="G18" s="17">
        <v>110000.0</v>
      </c>
      <c r="H18" s="17"/>
      <c r="I18" s="36">
        <f t="shared" si="1"/>
        <v>100000</v>
      </c>
      <c r="J18" s="118" t="s">
        <v>471</v>
      </c>
      <c r="K18" s="43"/>
    </row>
    <row r="19">
      <c r="B19" s="93" t="s">
        <v>477</v>
      </c>
      <c r="C19" s="93">
        <v>110.0</v>
      </c>
      <c r="D19" s="93" t="s">
        <v>358</v>
      </c>
      <c r="E19" s="94">
        <v>46159.0</v>
      </c>
      <c r="F19" s="95">
        <v>148750.0</v>
      </c>
      <c r="G19" s="95">
        <v>70000.0</v>
      </c>
      <c r="H19" s="95">
        <v>78750.0</v>
      </c>
      <c r="I19" s="96">
        <f t="shared" si="1"/>
        <v>0</v>
      </c>
      <c r="J19" s="97" t="s">
        <v>471</v>
      </c>
      <c r="K19" s="93" t="s">
        <v>485</v>
      </c>
    </row>
    <row r="20">
      <c r="B20" s="93" t="s">
        <v>470</v>
      </c>
      <c r="C20" s="93">
        <v>39.0</v>
      </c>
      <c r="D20" s="93" t="s">
        <v>48</v>
      </c>
      <c r="E20" s="94">
        <v>46176.0</v>
      </c>
      <c r="F20" s="95">
        <v>245000.0</v>
      </c>
      <c r="G20" s="95">
        <v>50000.0</v>
      </c>
      <c r="H20" s="95">
        <v>195000.0</v>
      </c>
      <c r="I20" s="96">
        <f t="shared" si="1"/>
        <v>0</v>
      </c>
      <c r="J20" s="97" t="s">
        <v>471</v>
      </c>
      <c r="K20" s="93" t="s">
        <v>485</v>
      </c>
    </row>
    <row r="21">
      <c r="B21" s="43" t="s">
        <v>470</v>
      </c>
      <c r="C21" s="43">
        <v>39.0</v>
      </c>
      <c r="D21" s="43" t="s">
        <v>490</v>
      </c>
      <c r="E21" s="117">
        <v>46176.0</v>
      </c>
      <c r="F21" s="17">
        <v>245000.0</v>
      </c>
      <c r="G21" s="17">
        <v>150000.0</v>
      </c>
      <c r="H21" s="17"/>
      <c r="I21" s="36">
        <f t="shared" si="1"/>
        <v>95000</v>
      </c>
      <c r="J21" s="118" t="s">
        <v>471</v>
      </c>
      <c r="K21" s="43"/>
    </row>
    <row r="22" ht="15.75" customHeight="1">
      <c r="B22" s="43" t="s">
        <v>470</v>
      </c>
      <c r="C22" s="43">
        <v>39.0</v>
      </c>
      <c r="D22" s="43" t="s">
        <v>490</v>
      </c>
      <c r="E22" s="117">
        <v>46176.0</v>
      </c>
      <c r="F22" s="17">
        <v>245000.0</v>
      </c>
      <c r="G22" s="17">
        <v>145000.0</v>
      </c>
      <c r="H22" s="17"/>
      <c r="I22" s="36">
        <f t="shared" si="1"/>
        <v>100000</v>
      </c>
      <c r="J22" s="118" t="s">
        <v>471</v>
      </c>
      <c r="K22" s="43"/>
    </row>
    <row r="23" ht="15.75" customHeight="1">
      <c r="B23" s="43" t="s">
        <v>470</v>
      </c>
      <c r="C23" s="43">
        <v>93.0</v>
      </c>
      <c r="D23" s="43" t="s">
        <v>491</v>
      </c>
      <c r="E23" s="117">
        <v>46196.0</v>
      </c>
      <c r="F23" s="17">
        <v>210000.0</v>
      </c>
      <c r="G23" s="17"/>
      <c r="H23" s="17"/>
      <c r="I23" s="36">
        <f t="shared" si="1"/>
        <v>210000</v>
      </c>
      <c r="J23" s="118" t="s">
        <v>471</v>
      </c>
      <c r="K23" s="43"/>
    </row>
    <row r="24" ht="15.75" customHeight="1">
      <c r="B24" s="43" t="s">
        <v>470</v>
      </c>
      <c r="C24" s="43">
        <v>72.0</v>
      </c>
      <c r="D24" s="43" t="s">
        <v>37</v>
      </c>
      <c r="E24" s="117">
        <v>46196.0</v>
      </c>
      <c r="F24" s="17">
        <v>236250.0</v>
      </c>
      <c r="G24" s="17"/>
      <c r="H24" s="17"/>
      <c r="I24" s="36">
        <f t="shared" si="1"/>
        <v>236250</v>
      </c>
      <c r="J24" s="118" t="s">
        <v>471</v>
      </c>
      <c r="K24" s="43"/>
    </row>
    <row r="25" ht="15.75" customHeight="1">
      <c r="B25" s="43" t="s">
        <v>470</v>
      </c>
      <c r="C25" s="43">
        <v>81.0</v>
      </c>
      <c r="D25" s="43" t="s">
        <v>71</v>
      </c>
      <c r="E25" s="117">
        <v>46198.0</v>
      </c>
      <c r="F25" s="17">
        <v>227500.0</v>
      </c>
      <c r="G25" s="17">
        <v>100000.0</v>
      </c>
      <c r="H25" s="17"/>
      <c r="I25" s="36">
        <f t="shared" si="1"/>
        <v>127500</v>
      </c>
      <c r="J25" s="118" t="s">
        <v>471</v>
      </c>
      <c r="K25" s="43"/>
    </row>
    <row r="26" ht="15.75" customHeight="1">
      <c r="B26" s="43" t="s">
        <v>474</v>
      </c>
      <c r="C26" s="43">
        <v>757.0</v>
      </c>
      <c r="D26" s="43" t="s">
        <v>492</v>
      </c>
      <c r="E26" s="117">
        <v>46200.0</v>
      </c>
      <c r="F26" s="17">
        <v>259900.0</v>
      </c>
      <c r="G26" s="17">
        <v>99950.0</v>
      </c>
      <c r="H26" s="17"/>
      <c r="I26" s="36">
        <f t="shared" si="1"/>
        <v>159950</v>
      </c>
      <c r="J26" s="118" t="s">
        <v>471</v>
      </c>
      <c r="K26" s="43"/>
    </row>
    <row r="27" ht="15.75" customHeight="1">
      <c r="B27" s="43"/>
      <c r="C27" s="43"/>
      <c r="D27" s="43"/>
      <c r="E27" s="117"/>
      <c r="F27" s="17"/>
      <c r="G27" s="17"/>
      <c r="H27" s="17"/>
      <c r="I27" s="36">
        <f t="shared" si="1"/>
        <v>0</v>
      </c>
      <c r="J27" s="118"/>
      <c r="K27" s="43"/>
    </row>
    <row r="28" ht="15.75" customHeight="1">
      <c r="B28" s="43"/>
      <c r="C28" s="43"/>
      <c r="D28" s="43"/>
      <c r="E28" s="117"/>
      <c r="F28" s="17"/>
      <c r="G28" s="17"/>
      <c r="H28" s="17"/>
      <c r="I28" s="36">
        <f t="shared" si="1"/>
        <v>0</v>
      </c>
      <c r="J28" s="118"/>
      <c r="K28" s="43"/>
    </row>
    <row r="29" ht="15.75" customHeight="1">
      <c r="B29" s="43"/>
      <c r="C29" s="43"/>
      <c r="D29" s="43"/>
      <c r="E29" s="117"/>
      <c r="F29" s="17"/>
      <c r="G29" s="17"/>
      <c r="H29" s="17"/>
      <c r="I29" s="36">
        <f t="shared" si="1"/>
        <v>0</v>
      </c>
      <c r="J29" s="118"/>
      <c r="K29" s="43"/>
    </row>
    <row r="30" ht="15.75" customHeight="1">
      <c r="B30" s="43"/>
      <c r="C30" s="43"/>
      <c r="D30" s="43"/>
      <c r="E30" s="117"/>
      <c r="F30" s="17"/>
      <c r="G30" s="17"/>
      <c r="H30" s="17"/>
      <c r="I30" s="17"/>
      <c r="J30" s="118"/>
      <c r="K30" s="43"/>
    </row>
    <row r="31" ht="15.75" customHeight="1">
      <c r="B31" s="43"/>
      <c r="C31" s="43"/>
      <c r="D31" s="43"/>
      <c r="E31" s="117"/>
      <c r="F31" s="17"/>
      <c r="G31" s="17"/>
      <c r="H31" s="17"/>
      <c r="I31" s="17"/>
      <c r="J31" s="118"/>
      <c r="K31" s="43"/>
    </row>
    <row r="32" ht="15.75" customHeight="1">
      <c r="B32" s="43"/>
      <c r="C32" s="43"/>
      <c r="D32" s="43"/>
      <c r="E32" s="117"/>
      <c r="F32" s="17"/>
      <c r="G32" s="17"/>
      <c r="H32" s="17"/>
      <c r="I32" s="17"/>
      <c r="J32" s="118"/>
      <c r="K32" s="43"/>
    </row>
    <row r="33" ht="15.75" customHeight="1">
      <c r="B33" s="43"/>
      <c r="C33" s="43"/>
      <c r="D33" s="43"/>
      <c r="E33" s="117"/>
      <c r="F33" s="17"/>
      <c r="G33" s="17"/>
      <c r="H33" s="17"/>
      <c r="I33" s="17"/>
      <c r="J33" s="118"/>
      <c r="K33" s="43"/>
    </row>
    <row r="34" ht="15.75" customHeight="1">
      <c r="B34" s="43"/>
      <c r="C34" s="43"/>
      <c r="D34" s="43"/>
      <c r="E34" s="117"/>
      <c r="F34" s="17"/>
      <c r="G34" s="17"/>
      <c r="H34" s="17"/>
      <c r="I34" s="17"/>
      <c r="J34" s="118"/>
      <c r="K34" s="43"/>
    </row>
    <row r="35" ht="15.75" customHeight="1">
      <c r="B35" s="43"/>
      <c r="C35" s="43"/>
      <c r="D35" s="43"/>
      <c r="E35" s="117"/>
      <c r="F35" s="17"/>
      <c r="G35" s="17"/>
      <c r="H35" s="17"/>
      <c r="I35" s="17"/>
      <c r="J35" s="118"/>
      <c r="K35" s="43"/>
    </row>
    <row r="36" ht="15.75" customHeight="1">
      <c r="B36" s="43"/>
      <c r="C36" s="43"/>
      <c r="D36" s="43"/>
      <c r="E36" s="117"/>
      <c r="F36" s="17"/>
      <c r="G36" s="17"/>
      <c r="H36" s="17"/>
      <c r="I36" s="17"/>
      <c r="J36" s="118"/>
      <c r="K36" s="43"/>
    </row>
    <row r="37" ht="15.75" customHeight="1">
      <c r="B37" s="43"/>
      <c r="C37" s="43"/>
      <c r="D37" s="43"/>
      <c r="E37" s="117"/>
      <c r="F37" s="17"/>
      <c r="G37" s="17"/>
      <c r="H37" s="17"/>
      <c r="I37" s="17"/>
      <c r="J37" s="118"/>
      <c r="K37" s="43"/>
    </row>
    <row r="38" ht="15.75" customHeight="1">
      <c r="B38" s="43"/>
      <c r="C38" s="43"/>
      <c r="D38" s="43"/>
      <c r="E38" s="117"/>
      <c r="F38" s="17"/>
      <c r="G38" s="17"/>
      <c r="H38" s="17"/>
      <c r="I38" s="17"/>
      <c r="J38" s="118"/>
      <c r="K38" s="43"/>
    </row>
    <row r="39" ht="15.75" customHeight="1">
      <c r="B39" s="43"/>
      <c r="C39" s="43"/>
      <c r="D39" s="43"/>
      <c r="E39" s="117"/>
      <c r="F39" s="17"/>
      <c r="G39" s="17"/>
      <c r="H39" s="17"/>
      <c r="I39" s="17"/>
      <c r="J39" s="118"/>
      <c r="K39" s="43"/>
    </row>
    <row r="40" ht="15.75" customHeight="1">
      <c r="B40" s="43"/>
      <c r="C40" s="43"/>
      <c r="D40" s="43"/>
      <c r="E40" s="117"/>
      <c r="F40" s="17"/>
      <c r="G40" s="17"/>
      <c r="H40" s="17"/>
      <c r="I40" s="17"/>
      <c r="J40" s="118"/>
      <c r="K40" s="43"/>
    </row>
    <row r="41" ht="15.75" customHeight="1">
      <c r="B41" s="43"/>
      <c r="C41" s="43"/>
      <c r="D41" s="43"/>
      <c r="E41" s="117"/>
      <c r="F41" s="17"/>
      <c r="G41" s="17"/>
      <c r="H41" s="17"/>
      <c r="I41" s="17"/>
      <c r="J41" s="118"/>
      <c r="K41" s="43"/>
    </row>
    <row r="42" ht="15.75" customHeight="1">
      <c r="B42" s="43"/>
      <c r="C42" s="43"/>
      <c r="D42" s="43"/>
      <c r="E42" s="117"/>
      <c r="F42" s="17"/>
      <c r="G42" s="17"/>
      <c r="H42" s="17"/>
      <c r="I42" s="17"/>
      <c r="J42" s="118"/>
      <c r="K42" s="43"/>
    </row>
    <row r="43" ht="15.75" customHeight="1">
      <c r="B43" s="43"/>
      <c r="C43" s="43"/>
      <c r="D43" s="43"/>
      <c r="E43" s="117"/>
      <c r="F43" s="17"/>
      <c r="G43" s="17"/>
      <c r="H43" s="17"/>
      <c r="I43" s="17"/>
      <c r="J43" s="118"/>
      <c r="K43" s="43"/>
    </row>
    <row r="44" ht="15.75" customHeight="1">
      <c r="B44" s="43"/>
      <c r="C44" s="43"/>
      <c r="D44" s="43"/>
      <c r="E44" s="117"/>
      <c r="F44" s="17"/>
      <c r="G44" s="17"/>
      <c r="H44" s="17"/>
      <c r="I44" s="17"/>
      <c r="J44" s="118"/>
      <c r="K44" s="43"/>
    </row>
    <row r="45" ht="15.75" customHeight="1">
      <c r="B45" s="43"/>
      <c r="C45" s="43"/>
      <c r="D45" s="43"/>
      <c r="E45" s="117"/>
      <c r="F45" s="17"/>
      <c r="G45" s="17"/>
      <c r="H45" s="17"/>
      <c r="I45" s="17"/>
      <c r="J45" s="118"/>
      <c r="K45" s="43"/>
    </row>
    <row r="46" ht="15.75" customHeight="1">
      <c r="B46" s="43"/>
      <c r="C46" s="43"/>
      <c r="D46" s="43"/>
      <c r="E46" s="117"/>
      <c r="F46" s="17"/>
      <c r="G46" s="17"/>
      <c r="H46" s="17"/>
      <c r="I46" s="17"/>
      <c r="J46" s="118"/>
      <c r="K46" s="43"/>
    </row>
    <row r="47" ht="15.75" customHeight="1">
      <c r="B47" s="43"/>
      <c r="C47" s="43"/>
      <c r="D47" s="43"/>
      <c r="E47" s="117"/>
      <c r="F47" s="17"/>
      <c r="G47" s="17"/>
      <c r="H47" s="17"/>
      <c r="I47" s="17"/>
      <c r="J47" s="118"/>
      <c r="K47" s="43"/>
    </row>
    <row r="48" ht="15.75" customHeight="1">
      <c r="B48" s="43"/>
      <c r="C48" s="43"/>
      <c r="D48" s="43"/>
      <c r="E48" s="117"/>
      <c r="F48" s="17"/>
      <c r="G48" s="17"/>
      <c r="H48" s="17"/>
      <c r="I48" s="17"/>
      <c r="J48" s="118"/>
      <c r="K48" s="43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L13:L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2024-02-03T14:44:03Z</dcterms:created>
  <dc:creator>Gloria María Franco Herazo</dc:creator>
</cp:coreProperties>
</file>