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de exportación" sheetId="1" r:id="rId4"/>
    <sheet state="visible" name="ENERO - EL PARCHE TIENDA" sheetId="2" r:id="rId5"/>
    <sheet state="visible" name="FEBRERO - EL PARCHE TIENDA" sheetId="3" r:id="rId6"/>
    <sheet state="visible" name="MARZO - EL PARCHE TIENDA" sheetId="4" r:id="rId7"/>
    <sheet state="visible" name="ABRIL - EL PARCHE TIENDA" sheetId="5" r:id="rId8"/>
    <sheet state="visible" name="MAYO" sheetId="6" r:id="rId9"/>
    <sheet state="visible" name="JUNIO" sheetId="7" r:id="rId10"/>
    <sheet state="visible" name="JULIO" sheetId="8" r:id="rId11"/>
    <sheet state="visible" name="AGOSTO" sheetId="9" r:id="rId12"/>
    <sheet state="visible" name="SEPTIEMBRE " sheetId="10" r:id="rId13"/>
    <sheet state="visible" name="OCTUBRE " sheetId="11" r:id="rId14"/>
    <sheet state="visible" name="NOVIEMBRE " sheetId="12" r:id="rId15"/>
    <sheet state="visible" name="DICIEMBRE " sheetId="13" r:id="rId16"/>
  </sheets>
  <definedNames/>
  <calcPr/>
  <extLst>
    <ext uri="GoogleSheetsCustomDataVersion2">
      <go:sheetsCustomData xmlns:go="http://customooxmlschemas.google.com/" r:id="rId17" roundtripDataChecksum="JaJTbRmUV8/vmleK3OukQ/ad4g1mdJEGjKOyn0vD3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1">
      <text>
        <t xml:space="preserve">100.000 pago a recicladores
======</t>
      </text>
    </comment>
    <comment authorId="0" ref="E20">
      <text>
        <t xml:space="preserve">280.000 Pago Gloria
60.000 Aux transporte Gloria
======</t>
      </text>
    </comment>
    <comment authorId="0" ref="E19">
      <text>
        <t xml:space="preserve">2.000 limosna
======</t>
      </text>
    </comment>
    <comment authorId="0" ref="E17">
      <text>
        <t xml:space="preserve">6.500 Sampic Aseo
191.700 Libros 2026 panamericana 
======
ID#AAAB53xPySo
Eka Guarin    (2026-05-06 23:00:12)
6500 detergente
191.700 Papeleria</t>
      </text>
    </comment>
    <comment authorId="0" ref="E33">
      <text>
        <t xml:space="preserve">15.000 Turno MAYUSI
======</t>
      </text>
    </comment>
    <comment authorId="0" ref="E32">
      <text>
        <t xml:space="preserve">15.000 Transp Esther
======</t>
      </text>
    </comment>
    <comment authorId="0" ref="E31">
      <text>
        <t xml:space="preserve">72.000 Turno Aura
======</t>
      </text>
    </comment>
    <comment authorId="0" ref="E28">
      <text>
        <t xml:space="preserve">20.000 materiales bancas
======</t>
      </text>
    </comment>
    <comment authorId="0" ref="E23">
      <text>
        <t xml:space="preserve">15.000 Transp Esther
======</t>
      </text>
    </comment>
  </commentList>
  <extLst>
    <ext uri="GoogleSheetsCustomDataVersion2">
      <go:sheetsCustomData xmlns:go="http://customooxmlschemas.google.com/" r:id="rId1" roundtripDataSignature="AMtx7mgYBGealmWK5/FHXgdZ3+jXr8COf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0">
      <text>
        <t xml:space="preserve">21.000 Bolsas
80.000 Turno Daniela
======
ID#AAAB53xPySg
Lenovo    (2026-05-06 23:00:12)
Turno Daniela -Bolsas</t>
      </text>
    </comment>
    <comment authorId="0" ref="E29">
      <text>
        <t xml:space="preserve">25.000 Ferreteria aviso luz
80.000 Turno Eka
======
ID#AAAB53xPyTk
Lenovo    (2026-05-06 23:00:12)
Ferreteria</t>
      </text>
    </comment>
    <comment authorId="0" ref="E28">
      <text>
        <t xml:space="preserve">======
ID#AAAB53xPyUY
Lenovo    (2026-05-06 23:00:12)
Turno Daniela</t>
      </text>
    </comment>
    <comment authorId="0" ref="E27">
      <text>
        <t xml:space="preserve">15.000 Transp MAYUSI
80.000 Turnos Eka
======
ID#AAAB53xPyVA
Lenovo    (2026-05-06 23:00:12)
Transporte</t>
      </text>
    </comment>
    <comment authorId="0" ref="E26">
      <text>
        <t xml:space="preserve">22.250 Picap Policarpa
80.000 Turno Eka
======
ID#AAAB53xPyUM
Lenovo    (2026-05-06 23:00:12)
Picap Policarpa</t>
      </text>
    </comment>
    <comment authorId="0" ref="E25">
      <text>
        <t xml:space="preserve">90.000 tiquetes
80.000 Turno Eka
======
ID#AAAB53xPyUg
Lenovo    (2026-05-06 23:00:12)
Tiquetes impresora</t>
      </text>
    </comment>
    <comment authorId="0" ref="E24">
      <text>
        <t xml:space="preserve">80.000 Turno Eka
======</t>
      </text>
    </comment>
    <comment authorId="0" ref="E23">
      <text>
        <t xml:space="preserve">80.000 Turno Eka
15.000 Mensajeria 
======
ID#AAAB53xPySw
Lenovo    (2026-05-06 23:00:12)
Mensajeris Toti</t>
      </text>
    </comment>
    <comment authorId="0" ref="E22">
      <text>
        <t xml:space="preserve">80.000 Turno Eka
======</t>
      </text>
    </comment>
    <comment authorId="0" ref="E21">
      <text>
        <t xml:space="preserve">80.000 turnos Daniela
40.000 impresiones remisiones 
======
ID#AAAB53xPyTg
Lenovo    (2026-05-06 23:00:12)
Turno Daniela - Impresiones Remis</t>
      </text>
    </comment>
    <comment authorId="0" ref="E20">
      <text>
        <t xml:space="preserve">80.000 Turno Eka
======</t>
      </text>
    </comment>
    <comment authorId="0" ref="E19">
      <text>
        <t xml:space="preserve">80000 Turno daniela
======</t>
      </text>
    </comment>
    <comment authorId="0" ref="E17">
      <text>
        <t xml:space="preserve">40.000 1/2 Turno Vane
40.000 1/2 Turno Eka
======</t>
      </text>
    </comment>
    <comment authorId="0" ref="E16">
      <text>
        <t xml:space="preserve">80.000 Turno vendedora
======</t>
      </text>
    </comment>
    <comment authorId="0" ref="E15">
      <text>
        <t xml:space="preserve">70.000 Turno daniela
======
ID#AAAB53xPySc
Lenovo    (2026-05-06 23:00:12)
Medio turnoVanessa</t>
      </text>
    </comment>
    <comment authorId="0" ref="E13">
      <text>
        <t xml:space="preserve">======
ID#AAAB53xPyVE
Lenovo    (2026-05-06 23:00:12)
Turno Daniela</t>
      </text>
    </comment>
    <comment authorId="0" ref="E11">
      <text>
        <t xml:space="preserve">======
ID#AAAB53xPyS4
Lenovo    (2026-05-06 23:00:12)
Espejo</t>
      </text>
    </comment>
    <comment authorId="0" ref="E10">
      <text>
        <t xml:space="preserve">======
ID#AAAB53xPyVM
Lenovo    (2026-05-06 23:00:12)
transp espejo</t>
      </text>
    </comment>
    <comment authorId="0" ref="E9">
      <text>
        <t xml:space="preserve">======
ID#AAAB53xPyVQ
Lenovo    (2026-05-06 23:00:12)
1.300.000 arriendo febrero</t>
      </text>
    </comment>
    <comment authorId="0" ref="E8">
      <text>
        <t xml:space="preserve">======
ID#AAAB53xPyUA
Lenovo    (2026-05-06 23:00:12)
64.250Notaria contrato</t>
      </text>
    </comment>
    <comment authorId="0" ref="E7">
      <text>
        <t xml:space="preserve">======
ID#AAAB53xPyV8
Lenovo    (2026-05-06 23:00:12)
70.000 cerrajero local</t>
      </text>
    </comment>
  </commentList>
  <extLst>
    <ext uri="GoogleSheetsCustomDataVersion2">
      <go:sheetsCustomData xmlns:go="http://customooxmlschemas.google.com/" r:id="rId1" roundtripDataSignature="AMtx7mg5ijV763pBITRBUEx1RsQzwkwah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70.000 Turno Daniela
======
ID#AAAB53xPyVc
Eka Guarin    (2026-05-06 23:00:12)
70.000 Turno Daniela</t>
      </text>
    </comment>
    <comment authorId="0" ref="E33">
      <text>
        <t xml:space="preserve">120.000 revisión computador
80.000 Turno Eka
======</t>
      </text>
    </comment>
    <comment authorId="0" ref="E31">
      <text>
        <t xml:space="preserve">======
ID#AAAB53xPyS0
Lenovo    (2026-05-06 23:00:12)
Turno Daniela</t>
      </text>
    </comment>
    <comment authorId="0" ref="E30">
      <text>
        <t xml:space="preserve">80.000 turnos Eka
======</t>
      </text>
    </comment>
    <comment authorId="0" ref="E29">
      <text>
        <t xml:space="preserve">30.000 Turno daniela
50.000 Turno Eka
27.500 compras Papeleria 
======
ID#AAAB53xPyUk
Lenovo    (2026-05-06 23:00:12)
30.000 1/4Turno Daniela 27.500 papeleria</t>
      </text>
    </comment>
    <comment authorId="0" ref="E27">
      <text>
        <t xml:space="preserve">======
ID#AAAB53xPySM
Lenovo    (2026-05-06 23:00:12)
Turno Aura</t>
      </text>
    </comment>
    <comment authorId="0" ref="E26">
      <text>
        <t xml:space="preserve">80.000 Turno daniela
20.000 almuerzo pincel
12.000 multitoma
10.000 Ferreteria avisó
123.550 codensa
======</t>
      </text>
    </comment>
    <comment authorId="0" ref="E24">
      <text>
        <t xml:space="preserve">======
ID#AAAB53xPyT4
Lenovo    (2026-05-06 23:00:12)
70.000 Turno Daniela  5.700 Sanpic aseo</t>
      </text>
    </comment>
    <comment authorId="0" ref="E23">
      <text>
        <t xml:space="preserve">80.000 Turno Eka
======</t>
      </text>
    </comment>
    <comment authorId="0" ref="E22">
      <text>
        <t xml:space="preserve">======
ID#AAAB53xPyU8
Lenovo    (2026-05-06 23:00:12)
Turno Aura</t>
      </text>
    </comment>
    <comment authorId="0" ref="E19">
      <text>
        <t xml:space="preserve">======
ID#AAAB53xPyTE
Eka Guarin    (2026-05-06 23:00:12)
620.000 compra computador Jaime Buenaño                    80.000 Turno Daniela</t>
      </text>
    </comment>
    <comment authorId="0" ref="E18">
      <text>
        <t xml:space="preserve">70.000 mantenimiento comp Jaime Buenaño 
80.000 Turno Eka
======
ID#AAAB53xPyTo
Lenovo    (2026-05-06 23:00:12)
Mantenimiento coputad J Buenaño</t>
      </text>
    </comment>
    <comment authorId="0" ref="E17">
      <text>
        <t xml:space="preserve">======
ID#AAAB53xPySY
Lenovo    (2026-05-06 23:00:12)
Turno Daniela</t>
      </text>
    </comment>
    <comment authorId="0" ref="E16">
      <text>
        <t xml:space="preserve">======
ID#AAAB53xPyUc
Lenovo    (2026-05-06 23:00:12)
2 Turnos Elvira</t>
      </text>
    </comment>
    <comment authorId="0" ref="E15">
      <text>
        <t xml:space="preserve">15.000 trans MAYUSI
2.000 bolsas
80.000 Turno Eka
======
ID#AAAB53xPyTU
Lenovo    (2026-05-06 23:00:12)
15.000 Transp Mayusi     2.000 Bolsas</t>
      </text>
    </comment>
    <comment authorId="0" ref="E14">
      <text>
        <t xml:space="preserve">======
ID#AAAB53xPySs
Lenovo    (2026-05-06 23:00:12)
80.000 Turno Daniela  20.000 mensajeria</t>
      </text>
    </comment>
    <comment authorId="0" ref="E13">
      <text>
        <t xml:space="preserve">======
ID#AAAB53xPyUE
Lenovo    (2026-05-06 23:00:12)
20.000 Transp Toti      19.500 onces            80.000 Turno Daniela</t>
      </text>
    </comment>
    <comment authorId="0" ref="E12">
      <text>
        <t xml:space="preserve">80.000 Turno Eka
======</t>
      </text>
    </comment>
    <comment authorId="0" ref="E10">
      <text>
        <t xml:space="preserve">200.000 Gloria Franco
70.000 Turno Aura
======</t>
      </text>
    </comment>
    <comment authorId="0" ref="E8">
      <text>
        <t xml:space="preserve">1.300.000 arriendo Marzo
15.000 transp Mensajeria 
80.000 Turno Eka
======
ID#AAAB53xPyTY
Eka Guarin    (2026-05-06 23:00:12)
1.300.000 Arriendo -          15.000 transp Toti</t>
      </text>
    </comment>
    <comment authorId="0" ref="E7">
      <text>
        <t xml:space="preserve">======
ID#AAAB53xPyV0
Lenovo    (2026-05-06 23:00:12)
53.000 transp Manizales    80.000 Turno Daniela    33.000 envio a Ricardo</t>
      </text>
    </comment>
    <comment authorId="0" ref="E6">
      <text>
        <t xml:space="preserve">======
ID#AAAB53xPyUQ
Eka Guarin    (2026-05-06 23:00:12)
80.000 Turno Catalina</t>
      </text>
    </comment>
  </commentList>
  <extLst>
    <ext uri="GoogleSheetsCustomDataVersion2">
      <go:sheetsCustomData xmlns:go="http://customooxmlschemas.google.com/" r:id="rId1" roundtripDataSignature="AMtx7mgLhDp0qFsZ1/IPTQE6iKwnOfO/G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31700 cajas y bolsas papel
80000 turnos Eka
======
ID#AAAB53xPyTI
Lenovo    (2026-05-06 23:00:12)
cajas y bolsas</t>
      </text>
    </comment>
    <comment authorId="0" ref="E30">
      <text>
        <t xml:space="preserve">80.000 turnos Aura
======</t>
      </text>
    </comment>
    <comment authorId="0" ref="E28">
      <text>
        <t xml:space="preserve">70000 Turnos Aura
15.000 Mensajeria 
128.141 Codensa
======
ID#AAAB-SG1_zs
El parche Ropa y Accesorios    (2026-06-24 23:19:30)
70.000 Turno Aura , 15.000 Mensajeria, , 128.141 codensa</t>
      </text>
    </comment>
    <comment authorId="0" ref="E26">
      <text>
        <t xml:space="preserve">80.000 Turno Eka
======
ID#AAAB53xPyVw
Lenovo    (2026-05-06 23:00:12)
Lenovo:</t>
      </text>
    </comment>
    <comment authorId="0" ref="E24">
      <text>
        <t xml:space="preserve">30.000 Turno Aura
40.000 Jardinería 
======
ID#AAAB53xPyVY
Lenovo    (2026-05-06 23:00:12)
30.000 1/4 turno Aura 40.000 jardineria</t>
      </text>
    </comment>
    <comment authorId="0" ref="E20">
      <text>
        <t xml:space="preserve">80.000 Turno daniela
5.000 Bolsas
======
ID#AAAB53xPyTQ
Lenovo    (2026-05-06 23:00:12)
80.000Turno Daniela               5.000 bolsas</t>
      </text>
    </comment>
    <comment authorId="0" ref="E18">
      <text>
        <t xml:space="preserve">100.000 instalación mueble
80.000 Turno Eka
======
ID#AAAB53xPyT8
Lenovo    (2026-05-06 23:00:12)
Instalacion mueble Jesus Angel</t>
      </text>
    </comment>
    <comment authorId="0" ref="E16">
      <text>
        <t xml:space="preserve">20.000 transp Elvira
4.950 Sampic Aseo
80.000 Turno Eka
======
ID#AAAB53xPyU4
Lenovo    (2026-05-06 23:00:12)
20.000 Transp Elvira     Implem. Aseo D1</t>
      </text>
    </comment>
    <comment authorId="0" ref="E14">
      <text>
        <t xml:space="preserve">70.000 Turno Aura
======
ID#AAAB53xPyT0
Lenovo    (2026-05-06 23:00:12)
Turno Aura (Nequi)</t>
      </text>
    </comment>
    <comment authorId="0" ref="E12">
      <text>
        <t xml:space="preserve">20.000 Turno Daniela
60000 Turno Eka
======
ID#AAAB53xPyUo
Lenovo    (2026-05-06 23:00:12)
Turno Daniela</t>
      </text>
    </comment>
    <comment authorId="0" ref="E10">
      <text>
        <t xml:space="preserve">35.000 stickers impresora
8200 Picap stickers
15.000 transp Esther
80.000 instalación impresoras
80.000 Turno Eka
======
ID#AAAB53xPyTc
Lenovo    (2026-05-06 23:00:12)
35.000 Stickers impresor 8.200 picap stickers   15.000 transp Esther  80.000 Instalac programa e impresora</t>
      </text>
    </comment>
    <comment authorId="0" ref="E6">
      <text>
        <t xml:space="preserve">80.000 Turno Eka
======
ID#AAAB53xPySQ
Lenovo    (2026-05-06 23:00:12)
Lenovo:</t>
      </text>
    </comment>
    <comment authorId="0" ref="E31">
      <text>
        <t xml:space="preserve">80.000 Turno Aura
======
ID#AAAB53xPyVo
Lenovo    (2026-05-06 23:00:12)
Turno Aura</t>
      </text>
    </comment>
    <comment authorId="0" ref="E29">
      <text>
        <t xml:space="preserve">======
ID#AAAB53xPyTM
Lenovo    (2026-05-06 23:00:12)
Lenovo:</t>
      </text>
    </comment>
    <comment authorId="0" ref="E27">
      <text>
        <t xml:space="preserve">80.000 turnos Elvira
15.000 mensajería 
======</t>
      </text>
    </comment>
    <comment authorId="0" ref="E25">
      <text>
        <t xml:space="preserve">80.000 Turno Aura
======
ID#AAAB53xPyVI
Lenovo    (2026-05-06 23:00:12)
Turno Aura</t>
      </text>
    </comment>
    <comment authorId="0" ref="E23">
      <text>
        <t xml:space="preserve">80.000 Turno Eka
======</t>
      </text>
    </comment>
    <comment authorId="0" ref="E21">
      <text>
        <t xml:space="preserve">70.000 Turno Aura
15.000 Transp Esther (William)
======</t>
      </text>
    </comment>
    <comment authorId="0" ref="E19">
      <text>
        <t xml:space="preserve">20.000 Turno daniela
60.000 Turno Eka
======
ID#AAAB53xPyTA
Lenovo    (2026-05-06 23:00:12)
1/8 turno Daniela</t>
      </text>
    </comment>
    <comment authorId="0" ref="E17">
      <text>
        <t xml:space="preserve">25.000 transporte Mayu
33.002 Agua 
80.000 turnos Eka
======
ID#AAAB-SG1_yo
El parche Ropa y Accesorios    (2026-06-24 23:12:48)
33002  Agua ~ 15.000 transporte MAYUSI</t>
      </text>
    </comment>
    <comment authorId="0" ref="E13">
      <text>
        <t xml:space="preserve">100.000 Turno daniela
======
ID#AAAB53xPyUI
Lenovo    (2026-05-06 23:00:12)
Lenovo:Turno Daniela</t>
      </text>
    </comment>
    <comment authorId="0" ref="E11">
      <text>
        <t xml:space="preserve">44730 internet ETB
80.000 Turno Aura
======
ID#AAAB53xPyUw
Lenovo    (2026-05-06 23:00:12)
Turno Aura</t>
      </text>
    </comment>
    <comment authorId="0" ref="E9">
      <text>
        <t xml:space="preserve">38,000 Estefanía asesoría comp
39.000 correo a TABIO
80.000 Turno Eka
======</t>
      </text>
    </comment>
    <comment authorId="0" ref="E7">
      <text>
        <t xml:space="preserve">Arriendo Abril 1.300.000
======</t>
      </text>
    </comment>
    <comment authorId="0" ref="F7">
      <text>
        <t xml:space="preserve">======
ID#AAAB53xPySI
Lenovo    (2026-05-06 23:00:12)
Lenovo:</t>
      </text>
    </comment>
  </commentList>
  <extLst>
    <ext uri="GoogleSheetsCustomDataVersion2">
      <go:sheetsCustomData xmlns:go="http://customooxmlschemas.google.com/" r:id="rId1" roundtripDataSignature="AMtx7mi3zG5wTg2y0+4B+I+AFBo+1ahi6g=="/>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70.000 Turno Aura
======</t>
      </text>
    </comment>
    <comment authorId="0" ref="E32">
      <text>
        <t xml:space="preserve">8.000 Picap envío
2.000 limosna
80.000 Turno Eka
======</t>
      </text>
    </comment>
    <comment authorId="0" ref="E30">
      <text>
        <t xml:space="preserve">80.000 turnos Eka
8.000 Picap envío
======</t>
      </text>
    </comment>
    <comment authorId="0" ref="E28">
      <text>
        <t xml:space="preserve">80.000 Turno Eka
======</t>
      </text>
    </comment>
    <comment authorId="0" ref="E26">
      <text>
        <t xml:space="preserve">100.000 Turno Aura
======</t>
      </text>
    </comment>
    <comment authorId="0" ref="E24">
      <text>
        <t xml:space="preserve">80.000 turnos Elvira 
======</t>
      </text>
    </comment>
    <comment authorId="0" ref="E22">
      <text>
        <t xml:space="preserve">80.000 Turno Aura
50.000 transporte Esther
======</t>
      </text>
    </comment>
    <comment authorId="0" ref="E18">
      <text>
        <t xml:space="preserve">80.000 Turno Eka
22.000 compras aseo
======</t>
      </text>
    </comment>
    <comment authorId="0" ref="E16">
      <text>
        <t xml:space="preserve">15.000 Mensajeria 
80.000 Eka Turno
======</t>
      </text>
    </comment>
    <comment authorId="0" ref="E14">
      <text>
        <t xml:space="preserve">80.000 Turno Aura
======</t>
      </text>
    </comment>
    <comment authorId="0" ref="E12">
      <text>
        <t xml:space="preserve">80.000 Turno Aura
44.730 ETB 
======</t>
      </text>
    </comment>
    <comment authorId="0" ref="E10">
      <text>
        <t xml:space="preserve">17.000 envió a synergy
80000 Turno Eka
======</t>
      </text>
    </comment>
    <comment authorId="0" ref="E8">
      <text>
        <t xml:space="preserve">15.000 transporte MAYUSI
80.000 Turno Eka
======</t>
      </text>
    </comment>
    <comment authorId="0" ref="E6">
      <text>
        <t xml:space="preserve">160.000 pago Gloria 
80.000 Turno Eka
======</t>
      </text>
    </comment>
    <comment authorId="0" ref="E4">
      <text>
        <t xml:space="preserve">80.000 Turno Eka
======</t>
      </text>
    </comment>
    <comment authorId="0" ref="E33">
      <text>
        <t xml:space="preserve">60.000 Turno Aura
======</t>
      </text>
    </comment>
    <comment authorId="0" ref="E31">
      <text>
        <t xml:space="preserve">80.000 turnos Eka
======</t>
      </text>
    </comment>
    <comment authorId="0" ref="E29">
      <text>
        <t xml:space="preserve">140.900 codensa 
80.000 turnos Eka 
======</t>
      </text>
    </comment>
    <comment authorId="0" ref="E27">
      <text>
        <t xml:space="preserve">80.000 turnos Elvira
15.000 mensajería 
128.141 codensa 
======</t>
      </text>
    </comment>
    <comment authorId="0" ref="E25">
      <text>
        <t xml:space="preserve"> 80.000 Turno Eka
======</t>
      </text>
    </comment>
    <comment authorId="0" ref="E23">
      <text>
        <t xml:space="preserve">80.000 Turno Aura
======</t>
      </text>
    </comment>
    <comment authorId="0" ref="E21">
      <text>
        <t xml:space="preserve">80.000 Turno Eka
======</t>
      </text>
    </comment>
    <comment authorId="0" ref="E19">
      <text>
        <t xml:space="preserve">100.000 Turno Daniela
======</t>
      </text>
    </comment>
    <comment authorId="0" ref="E17">
      <text>
        <t xml:space="preserve">16.000 transp MAYUSI
10.000 envió clienta
80.000 Turno Eka
======</t>
      </text>
    </comment>
    <comment authorId="0" ref="E15">
      <text>
        <t xml:space="preserve">80.000 Turno Eka
======</t>
      </text>
    </comment>
    <comment authorId="0" ref="E11">
      <text>
        <t xml:space="preserve">80.000 turno Elvira
26.000 extensión luz aviso
======</t>
      </text>
    </comment>
    <comment authorId="0" ref="E9">
      <text>
        <t xml:space="preserve">80.000 Aura
11.000 envío clienta
======</t>
      </text>
    </comment>
    <comment authorId="0" ref="E7">
      <text>
        <t xml:space="preserve">Arriendo Mayo 1.300.000
Turno Eka 80.000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80.000 turno Eka
======</t>
      </text>
    </comment>
    <comment authorId="0" ref="E32">
      <text>
        <t xml:space="preserve">======
ID#AAACBsLnleY
Gloria María Franco Herazo    (2026-07-31 15:14:39)
80.000 Turno Eka
20.000 Bombillos</t>
      </text>
    </comment>
    <comment authorId="0" ref="E30">
      <text>
        <t xml:space="preserve">======
ID#AAACBsLnleU
Gloria María Franco Herazo    (2026-07-31 15:11:46)
70.000 Turno Aura</t>
      </text>
    </comment>
    <comment authorId="0" ref="E28">
      <text>
        <t xml:space="preserve">======
ID#AAACBsLnleQ
Gloria María Franco Herazo    (2026-07-31 15:07:38)
80.000 Turno Eka</t>
      </text>
    </comment>
    <comment authorId="0" ref="E26">
      <text>
        <t xml:space="preserve">12.000 domicilio Esther
80.000 Turno Daniela
449.000 Johan Sistema IA
======</t>
      </text>
    </comment>
    <comment authorId="0" ref="E22">
      <text>
        <t xml:space="preserve">80.000 Turno daniela
======</t>
      </text>
    </comment>
    <comment authorId="0" ref="E20">
      <text>
        <t xml:space="preserve">80.000 Turno Eka
======</t>
      </text>
    </comment>
    <comment authorId="0" ref="E18">
      <text>
        <t xml:space="preserve">4850 Envío clienta
80.000 Turno Eka
44.730 ETB
======</t>
      </text>
    </comment>
    <comment authorId="0" ref="E16">
      <text>
        <t xml:space="preserve">70.000 Turno Aura
======</t>
      </text>
    </comment>
    <comment authorId="0" ref="E14">
      <text>
        <t xml:space="preserve">50.000 turnos AURA
======</t>
      </text>
    </comment>
    <comment authorId="0" ref="E12">
      <text>
        <t xml:space="preserve">80.000 Turno daniela
15.000 transp Esther
======</t>
      </text>
    </comment>
    <comment authorId="0" ref="E8">
      <text>
        <t xml:space="preserve">1.300.000 Arriendo
80.000 Turno Daniela
10500 Picap Esther
======</t>
      </text>
    </comment>
    <comment authorId="0" ref="E6">
      <text>
        <t xml:space="preserve">80.000 Turno Daniela
======</t>
      </text>
    </comment>
    <comment authorId="0" ref="E4">
      <text>
        <t xml:space="preserve">40.000 medio Turno Daniela
40.000 medio Turno Eka
======</t>
      </text>
    </comment>
    <comment authorId="0" ref="E29">
      <text>
        <t xml:space="preserve">======
ID#AAACBsLnleI
Gloria María Franco Herazo    (2026-07-31 15:06:10)
100.000 Turno Daniela</t>
      </text>
    </comment>
    <comment authorId="0" ref="E27">
      <text>
        <t xml:space="preserve">======
ID#AAACBsLnleE
Gloria María Franco Herazo    (2026-07-31 15:03:14)
60.000 3/4 Turno Daniela</t>
      </text>
    </comment>
    <comment authorId="0" ref="E25">
      <text>
        <t xml:space="preserve">80.000 Turno Eka
15.000 transp MAYUSI 
======</t>
      </text>
    </comment>
    <comment authorId="0" ref="E23">
      <text>
        <t xml:space="preserve">11.500 envío CHAPINERO
70.000 Turno Aura
20.000 transp botones
34.225 Agua 
140.058 Codensa
======</t>
      </text>
    </comment>
    <comment authorId="0" ref="E21">
      <text>
        <t xml:space="preserve">40.000 medio Turno Daniela
40.000 medio Turno Eka
======</t>
      </text>
    </comment>
    <comment authorId="0" ref="E19">
      <text>
        <t xml:space="preserve">10.000 Envío GUEYCANI 
80.000 Turno Daniela
======</t>
      </text>
    </comment>
    <comment authorId="0" ref="E15">
      <text>
        <t xml:space="preserve">80.000 Turno daniela
======</t>
      </text>
    </comment>
    <comment authorId="0" ref="E13">
      <text>
        <t xml:space="preserve">5.000 envío a cliente
18.500 café
80.000 Turno daniela
======</t>
      </text>
    </comment>
    <comment authorId="0" ref="E11">
      <text>
        <t xml:space="preserve">20.000 transporte MAYUSI
80.000 Turno Eka
======</t>
      </text>
    </comment>
    <comment authorId="0" ref="E9">
      <text>
        <t xml:space="preserve">70.000 Turno Aura
======</t>
      </text>
    </comment>
    <comment authorId="0" ref="E7">
      <text>
        <t xml:space="preserve">80.000 Turno Eka
======</t>
      </text>
    </comment>
  </commentList>
  <extLst>
    <ext uri="GoogleSheetsCustomDataVersion2">
      <go:sheetsCustomData xmlns:go="http://customooxmlschemas.google.com/" r:id="rId1" roundtripDataSignature="AMtx7mjS4lfBF6s5x/kUDP6egPy9t4ZDw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ID#AAACBsLnlgI
Gloria María Franco Herazo    (2026-07-31 15:25:57)
25.000 Envío Mayusi
20.000 Recoger Rlo Polic
25.000 Envío a Esther
15.000 Envío a Candelaria
15.000 Regreso al Parche
80.000 Turno Eka</t>
      </text>
    </comment>
    <comment authorId="0" ref="E3">
      <text>
        <t xml:space="preserve">======
ID#AAACBsLnleg
Gloria María Franco Herazo    (2026-07-31 15:18:29)
70.000 Turno Daniela</t>
      </text>
    </comment>
    <comment authorId="0" ref="E30">
      <text>
        <t xml:space="preserve">======
ID#AAACBsLnl54
Gloria María Franco Herazo    (2026-07-31 16:23:27)
15.400 Envío Mayusi
80.000 Turno Eka</t>
      </text>
    </comment>
    <comment authorId="0" ref="E28">
      <text>
        <t xml:space="preserve">======
ID#AAACBsLnl5I
Gloria María Franco Herazo    (2026-07-31 16:21:38)
70.000 Turno Aura</t>
      </text>
    </comment>
    <comment authorId="0" ref="E26">
      <text>
        <t xml:space="preserve">======
ID#AAACBsLnl48
Gloria María Franco Herazo    (2026-07-31 16:19:31)
40.000 Medio Turno Aura
40.000 Medio Turno Eka</t>
      </text>
    </comment>
    <comment authorId="0" ref="E24">
      <text>
        <t xml:space="preserve">======
ID#AAACBsLnl40
Gloria María Franco Herazo    (2026-07-31 16:18:20)
16.000 Esferos Papelería
10.000 Toallas
80.000 Turno Eka</t>
      </text>
    </comment>
    <comment authorId="0" ref="E22">
      <text>
        <t xml:space="preserve">======
ID#AAACBsLnlzM
Gloria María Franco Herazo    (2026-07-31 15:51:00)
70.000 Turno Gaia</t>
      </text>
    </comment>
    <comment authorId="0" ref="E20">
      <text>
        <t xml:space="preserve">======
ID#AAACBsLnly0
Gloria María Franco Herazo    (2026-07-31 15:48:01)
28.000 Bolsas Grandes
6.350 Picap Clienta
30.000 Cafés Cortesía
80.000 Turno Eka</t>
      </text>
    </comment>
    <comment authorId="0" ref="E18">
      <text>
        <t xml:space="preserve">======
ID#AAACBsLnlo0
Gloria María Franco Herazo    (2026-07-31 15:44:31)
80.000 Turno Eka</t>
      </text>
    </comment>
    <comment authorId="0" ref="E16">
      <text>
        <t xml:space="preserve">======
ID#AAACBsLnloU
Gloria María Franco Herazo    (2026-07-31 15:40:38)
100.000 Turno Gaia</t>
      </text>
    </comment>
    <comment authorId="0" ref="E14">
      <text>
        <t xml:space="preserve">======
ID#AAACBsLnlno
Gloria María Franco Herazo    (2026-07-31 15:38:16)
70.000 Turno Daniela</t>
      </text>
    </comment>
    <comment authorId="0" ref="E12">
      <text>
        <t xml:space="preserve">======
ID#AAACBsLnlnU
Gloria María Franco Herazo    (2026-07-31 15:36:03)
80.000 Turno Daniela</t>
      </text>
    </comment>
    <comment authorId="0" ref="E10">
      <text>
        <t xml:space="preserve">======
ID#AAACBsLnlg4
Gloria María Franco Herazo    (2026-07-31 15:33:01)
60.000 Turno Gaia 
24.000 Cafés Reunión</t>
      </text>
    </comment>
    <comment authorId="0" ref="E6">
      <text>
        <t xml:space="preserve">======
ID#AAACBsLnlgM
Gloria María Franco Herazo    (2026-07-31 15:27:23)
80.000 Turno Eka</t>
      </text>
    </comment>
    <comment authorId="0" ref="E4">
      <text>
        <t xml:space="preserve">======
ID#AAACBsLnlek
Gloria María Franco Herazo    (2026-07-31 15:20:39)
80.000 Turno Eka
59.900 Cafetería</t>
      </text>
    </comment>
    <comment authorId="0" ref="E29">
      <text>
        <t xml:space="preserve">======
ID#AAACBsLnl5M
Gloria María Franco Herazo    (2026-07-31 16:22:41)
8.000 Café Cliente
80.000 Turno Eka</t>
      </text>
    </comment>
    <comment authorId="0" ref="E27">
      <text>
        <t xml:space="preserve">======
ID#AAACBsLnl5A
Gloria María Franco Herazo    (2026-07-31 16:19:54)
80.000 Turno Aura</t>
      </text>
    </comment>
    <comment authorId="0" ref="E25">
      <text>
        <t xml:space="preserve">======
ID#AAACBsLnl44
Gloria María Franco Herazo    (2026-07-31 16:18:39)
60.000 Turno Aura</t>
      </text>
    </comment>
    <comment authorId="0" ref="E23">
      <text>
        <t xml:space="preserve">======
ID#AAACBsLnl4w
Gloria María Franco Herazo    (2026-07-31 16:16:17)
32.000 Envío Ropa de Manizales
80.000 Turno Eka</t>
      </text>
    </comment>
    <comment authorId="0" ref="E21">
      <text>
        <t xml:space="preserve">======
ID#AAACBsLnlzE
Gloria María Franco Herazo    (2026-07-31 15:49:37)
100.000 Turno Daniela (16 julio)
800.000 Turno Daniela (19 julio)</t>
      </text>
    </comment>
    <comment authorId="0" ref="E19">
      <text>
        <t xml:space="preserve">======
ID#AAACBsLnlpE
Gloria María Franco Herazo    (2026-07-31 15:46:04)
80.000 Turno Eka
15.000 Transporte Mayusi</t>
      </text>
    </comment>
    <comment authorId="0" ref="E17">
      <text>
        <t xml:space="preserve">======
ID#AAACBsLnloo
Gloria María Franco Herazo    (2026-07-31 15:43:03)
80.000 Turno Eka</t>
      </text>
    </comment>
    <comment authorId="0" ref="E13">
      <text>
        <t xml:space="preserve">======
ID#AAACBsLnlnk
Gloria María Franco Herazo    (2026-07-31 15:37:11)
90.000 Turno Gaia 
2.000 Ayuda Wilmer</t>
      </text>
    </comment>
    <comment authorId="0" ref="E11">
      <text>
        <t xml:space="preserve">======
ID#AAACBsLnlhM
Gloria María Franco Herazo    (2026-07-31 15:34:48)
80.000 Turno Eka
2.000 Bolsas Basura
2.000 Ayuda Habitante de Calle</t>
      </text>
    </comment>
    <comment authorId="0" ref="E9">
      <text>
        <t xml:space="preserve">======
ID#AAACBsLnlgo
Gloria María Franco Herazo    (2026-07-31 15:31:07)
80.000 Turno Aura</t>
      </text>
    </comment>
    <comment authorId="0" ref="E7">
      <text>
        <t xml:space="preserve">======
ID#AAACBsLnlgQ
Gloria María Franco Herazo    (2026-07-31 15:28:08)
70.000 Turno Aura</t>
      </text>
    </comment>
  </commentList>
  <extLst>
    <ext uri="GoogleSheetsCustomDataVersion2">
      <go:sheetsCustomData xmlns:go="http://customooxmlschemas.google.com/" r:id="rId1" roundtripDataSignature="AMtx7mimxmmKF9q9d+gS4qMlDMvQ9EP6fA=="/>
    </ext>
  </extLst>
</comments>
</file>

<file path=xl/sharedStrings.xml><?xml version="1.0" encoding="utf-8"?>
<sst xmlns="http://schemas.openxmlformats.org/spreadsheetml/2006/main" count="103" uniqueCount="32">
  <si>
    <t>Este documento se exportó de Numbers. Cada tabla se convirtió en una hoja de cálculo de Excel. Los demás objetos de las hojas de Numbers se colocaron en distintas hojas de cálculo. Recuerda que el cálculo de fórmulas puede ser diferente en Excel.</t>
  </si>
  <si>
    <t>EL PARCHE TIENDA</t>
  </si>
  <si>
    <t>Nombre de hoja de Numbers</t>
  </si>
  <si>
    <t>Nombre de tabla de Numbers</t>
  </si>
  <si>
    <t>Nombre de hoja de cálculo de Excel</t>
  </si>
  <si>
    <t>ENERO</t>
  </si>
  <si>
    <t>ENERO - EL PARCHE TIENDA</t>
  </si>
  <si>
    <t>VENTAS</t>
  </si>
  <si>
    <t>PAGOS A TERCEROS</t>
  </si>
  <si>
    <t>INGRESO A LIBRO FISCAL</t>
  </si>
  <si>
    <t>GASTOS</t>
  </si>
  <si>
    <t>SALDO</t>
  </si>
  <si>
    <t>FEBRERO</t>
  </si>
  <si>
    <t>FEBRERO - EL PARCHE TIENDA</t>
  </si>
  <si>
    <t>MARZO</t>
  </si>
  <si>
    <t>MARZO - EL PARCHE TIENDA</t>
  </si>
  <si>
    <t>ABRIL</t>
  </si>
  <si>
    <t>ABRIL - EL PARCHE TIENDA</t>
  </si>
  <si>
    <t>MAYO</t>
  </si>
  <si>
    <t>Tabla 1</t>
  </si>
  <si>
    <t>JUNIO</t>
  </si>
  <si>
    <t>JULIO</t>
  </si>
  <si>
    <t>AGOSTO</t>
  </si>
  <si>
    <t xml:space="preserve">SEPTIEMBRE </t>
  </si>
  <si>
    <t xml:space="preserve">OCTUBRE </t>
  </si>
  <si>
    <t xml:space="preserve">NOVIEMBRE </t>
  </si>
  <si>
    <t xml:space="preserve">DICIEMBRE </t>
  </si>
  <si>
    <t xml:space="preserve">MONTAJE LOCAL </t>
  </si>
  <si>
    <t xml:space="preserve">INAUGURACIÓN </t>
  </si>
  <si>
    <t>TOTAL</t>
  </si>
  <si>
    <t xml:space="preserve">PROVEEDORES </t>
  </si>
  <si>
    <t>PAGO A TERCEROS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</si>
</sst>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_-&quot;$&quot;* #,##0_-;_-&quot;$&quot;* \(#,##0\)_-;_-&quot;$&quot;* &quot;-&quot;??;_-@"/>
  </numFmts>
  <fonts count="8">
    <font>
      <sz val="10.0"/>
      <color rgb="FF000000"/>
      <name val="Helvetica Neue"/>
      <scheme val="minor"/>
    </font>
    <font>
      <sz val="12.0"/>
      <color rgb="FF000000"/>
      <name val="Helvetica Neue"/>
    </font>
    <font>
      <sz val="14.0"/>
      <color rgb="FF000000"/>
      <name val="Helvetica Neue"/>
    </font>
    <font>
      <sz val="10.0"/>
      <color rgb="FF000000"/>
      <name val="Helvetica Neue"/>
    </font>
    <font>
      <b/>
      <sz val="12.0"/>
      <color rgb="FF000000"/>
      <name val="Helvetica Neue"/>
    </font>
    <font>
      <u/>
      <sz val="12.0"/>
      <color rgb="FF0000FF"/>
      <name val="Helvetica Neue"/>
    </font>
    <font>
      <b/>
      <sz val="10.0"/>
      <color rgb="FF000000"/>
      <name val="Helvetica Neue"/>
    </font>
    <font>
      <b/>
      <sz val="15.0"/>
      <color rgb="FF000000"/>
      <name val="Helvetica Neue"/>
    </font>
  </fonts>
  <fills count="9">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BDC0BF"/>
        <bgColor rgb="FFBDC0BF"/>
      </patternFill>
    </fill>
    <fill>
      <patternFill patternType="solid">
        <fgColor rgb="FFDBDBDB"/>
        <bgColor rgb="FFDBDBDB"/>
      </patternFill>
    </fill>
    <fill>
      <patternFill patternType="solid">
        <fgColor rgb="FFF9DCD8"/>
        <bgColor rgb="FFF9DCD8"/>
      </patternFill>
    </fill>
    <fill>
      <patternFill patternType="solid">
        <fgColor rgb="FFFDF9A0"/>
        <bgColor rgb="FFFDF9A0"/>
      </patternFill>
    </fill>
    <fill>
      <patternFill patternType="solid">
        <fgColor rgb="FFE1EDD6"/>
        <bgColor rgb="FFE1EDD6"/>
      </patternFill>
    </fill>
  </fills>
  <borders count="13">
    <border/>
    <border>
      <left/>
      <right/>
      <top/>
      <bottom/>
    </border>
    <border>
      <left style="thin">
        <color rgb="FF7F7F7F"/>
      </left>
      <right style="thin">
        <color rgb="FF7F7F7F"/>
      </right>
      <top style="thin">
        <color rgb="FF7F7F7F"/>
      </top>
      <bottom style="thin">
        <color rgb="FF7F7F7F"/>
      </bottom>
    </border>
    <border>
      <left style="thin">
        <color rgb="FFA5A5A5"/>
      </left>
      <right style="thin">
        <color rgb="FF3F3F3F"/>
      </right>
      <top style="thin">
        <color rgb="FF7F7F7F"/>
      </top>
      <bottom style="thin">
        <color rgb="FFA5A5A5"/>
      </bottom>
    </border>
    <border>
      <left style="thin">
        <color rgb="FF3F3F3F"/>
      </left>
      <right style="thin">
        <color rgb="FFA5A5A5"/>
      </right>
      <top style="thin">
        <color rgb="FF7F7F7F"/>
      </top>
      <bottom style="thin">
        <color rgb="FFA5A5A5"/>
      </bottom>
    </border>
    <border>
      <left style="thin">
        <color rgb="FFA5A5A5"/>
      </left>
      <right style="thin">
        <color rgb="FFA5A5A5"/>
      </right>
      <top style="thin">
        <color rgb="FF7F7F7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s>
  <cellStyleXfs count="1">
    <xf borderId="0" fillId="0" fontId="0" numFmtId="0" applyAlignment="1" applyFont="1"/>
  </cellStyleXfs>
  <cellXfs count="44">
    <xf borderId="0" fillId="0" fontId="0" numFmtId="0" xfId="0" applyAlignment="1" applyFont="1">
      <alignment readingOrder="0" shrinkToFit="0" vertical="top" wrapText="1"/>
    </xf>
    <xf borderId="0" fillId="0" fontId="1" numFmtId="0" xfId="0" applyAlignment="1" applyFont="1">
      <alignment horizontal="left" shrinkToFit="0" vertical="top" wrapText="1"/>
    </xf>
    <xf borderId="0" fillId="0" fontId="1" numFmtId="0" xfId="0" applyAlignment="1" applyFont="1">
      <alignment horizontal="center" shrinkToFit="0" vertical="center" wrapText="0"/>
    </xf>
    <xf borderId="0" fillId="0" fontId="2" numFmtId="0" xfId="0" applyAlignment="1" applyFont="1">
      <alignment horizontal="left" shrinkToFit="0" vertical="top" wrapText="1"/>
    </xf>
    <xf borderId="0" fillId="0" fontId="3" numFmtId="0" xfId="0" applyAlignment="1" applyFont="1">
      <alignment shrinkToFit="0" vertical="top" wrapText="1"/>
    </xf>
    <xf borderId="1" fillId="2" fontId="1" numFmtId="0" xfId="0" applyAlignment="1" applyBorder="1" applyFill="1" applyFont="1">
      <alignment horizontal="left" shrinkToFit="0" vertical="top" wrapText="1"/>
    </xf>
    <xf borderId="1" fillId="3" fontId="1" numFmtId="0" xfId="0" applyAlignment="1" applyBorder="1" applyFill="1" applyFont="1">
      <alignment horizontal="left" shrinkToFit="0" vertical="top" wrapText="1"/>
    </xf>
    <xf borderId="2" fillId="4" fontId="4" numFmtId="164" xfId="0" applyAlignment="1" applyBorder="1" applyFill="1" applyFont="1" applyNumberFormat="1">
      <alignment horizontal="center" shrinkToFit="0" vertical="center" wrapText="1"/>
    </xf>
    <xf borderId="2" fillId="4" fontId="4" numFmtId="49" xfId="0" applyAlignment="1" applyBorder="1" applyFont="1" applyNumberFormat="1">
      <alignment horizontal="center" shrinkToFit="0" vertical="center" wrapText="1"/>
    </xf>
    <xf borderId="1" fillId="3" fontId="5" numFmtId="0" xfId="0" applyAlignment="1" applyBorder="1" applyFont="1">
      <alignment horizontal="left" shrinkToFit="0" vertical="top" wrapText="1"/>
    </xf>
    <xf borderId="3" fillId="5" fontId="6" numFmtId="0" xfId="0" applyAlignment="1" applyBorder="1" applyFill="1" applyFont="1">
      <alignment horizontal="center" shrinkToFit="0" vertical="top" wrapText="1"/>
    </xf>
    <xf borderId="4" fillId="6" fontId="3" numFmtId="165" xfId="0" applyAlignment="1" applyBorder="1" applyFill="1" applyFont="1" applyNumberFormat="1">
      <alignment shrinkToFit="0" vertical="top" wrapText="1"/>
    </xf>
    <xf borderId="5" fillId="0" fontId="3" numFmtId="165" xfId="0" applyAlignment="1" applyBorder="1" applyFont="1" applyNumberFormat="1">
      <alignment shrinkToFit="0" vertical="top" wrapText="1"/>
    </xf>
    <xf borderId="5" fillId="7" fontId="3" numFmtId="165" xfId="0" applyAlignment="1" applyBorder="1" applyFill="1" applyFont="1" applyNumberFormat="1">
      <alignment shrinkToFit="0" vertical="top" wrapText="1"/>
    </xf>
    <xf borderId="5" fillId="8" fontId="3" numFmtId="165" xfId="0" applyAlignment="1" applyBorder="1" applyFill="1" applyFont="1" applyNumberFormat="1">
      <alignment shrinkToFit="0" vertical="top" wrapText="1"/>
    </xf>
    <xf borderId="6" fillId="5" fontId="6" numFmtId="0" xfId="0" applyAlignment="1" applyBorder="1" applyFont="1">
      <alignment horizontal="center" shrinkToFit="0" vertical="top" wrapText="1"/>
    </xf>
    <xf borderId="7" fillId="6" fontId="3" numFmtId="165" xfId="0" applyAlignment="1" applyBorder="1" applyFont="1" applyNumberFormat="1">
      <alignment shrinkToFit="0" vertical="top" wrapText="1"/>
    </xf>
    <xf borderId="8" fillId="0" fontId="3" numFmtId="165" xfId="0" applyAlignment="1" applyBorder="1" applyFont="1" applyNumberFormat="1">
      <alignment shrinkToFit="0" vertical="top" wrapText="1"/>
    </xf>
    <xf borderId="8" fillId="7" fontId="3" numFmtId="165" xfId="0" applyAlignment="1" applyBorder="1" applyFont="1" applyNumberFormat="1">
      <alignment shrinkToFit="0" vertical="top" wrapText="1"/>
    </xf>
    <xf borderId="8" fillId="8" fontId="3" numFmtId="165" xfId="0" applyAlignment="1" applyBorder="1" applyFont="1" applyNumberFormat="1">
      <alignment shrinkToFit="0" vertical="top" wrapText="1"/>
    </xf>
    <xf borderId="8" fillId="0" fontId="3" numFmtId="165" xfId="0" applyAlignment="1" applyBorder="1" applyFont="1" applyNumberFormat="1">
      <alignment readingOrder="0" shrinkToFit="0" vertical="top" wrapText="1"/>
    </xf>
    <xf borderId="5" fillId="0" fontId="3" numFmtId="165" xfId="0" applyAlignment="1" applyBorder="1" applyFont="1" applyNumberFormat="1">
      <alignment readingOrder="0" shrinkToFit="0" vertical="top" wrapText="1"/>
    </xf>
    <xf borderId="0" fillId="0" fontId="3" numFmtId="0" xfId="0" applyAlignment="1" applyFont="1">
      <alignment readingOrder="0" shrinkToFit="0" vertical="top" wrapText="1"/>
    </xf>
    <xf borderId="8" fillId="8" fontId="3" numFmtId="165" xfId="0" applyAlignment="1" applyBorder="1" applyFont="1" applyNumberFormat="1">
      <alignment readingOrder="0" shrinkToFit="0" vertical="top" wrapText="1"/>
    </xf>
    <xf borderId="7" fillId="6" fontId="3" numFmtId="165" xfId="0" applyAlignment="1" applyBorder="1" applyFont="1" applyNumberFormat="1">
      <alignment readingOrder="0" shrinkToFit="0" vertical="top" wrapText="1"/>
    </xf>
    <xf borderId="6" fillId="5" fontId="7" numFmtId="49" xfId="0" applyAlignment="1" applyBorder="1" applyFont="1" applyNumberFormat="1">
      <alignment horizontal="center" shrinkToFit="0" vertical="top" wrapText="1"/>
    </xf>
    <xf borderId="7" fillId="6" fontId="7" numFmtId="165" xfId="0" applyAlignment="1" applyBorder="1" applyFont="1" applyNumberFormat="1">
      <alignment shrinkToFit="0" vertical="top" wrapText="1"/>
    </xf>
    <xf borderId="8" fillId="0" fontId="7" numFmtId="165" xfId="0" applyAlignment="1" applyBorder="1" applyFont="1" applyNumberFormat="1">
      <alignment shrinkToFit="0" vertical="top" wrapText="1"/>
    </xf>
    <xf borderId="8" fillId="7" fontId="7" numFmtId="165" xfId="0" applyAlignment="1" applyBorder="1" applyFont="1" applyNumberFormat="1">
      <alignment shrinkToFit="0" vertical="top" wrapText="1"/>
    </xf>
    <xf borderId="8" fillId="8" fontId="7" numFmtId="165" xfId="0" applyAlignment="1" applyBorder="1" applyFont="1" applyNumberFormat="1">
      <alignment shrinkToFit="0" vertical="top" wrapText="1"/>
    </xf>
    <xf borderId="7" fillId="0" fontId="3" numFmtId="165" xfId="0" applyAlignment="1" applyBorder="1" applyFont="1" applyNumberFormat="1">
      <alignment shrinkToFit="0" vertical="top" wrapText="1"/>
    </xf>
    <xf borderId="8" fillId="0" fontId="3" numFmtId="49" xfId="0" applyAlignment="1" applyBorder="1" applyFont="1" applyNumberFormat="1">
      <alignment horizontal="center" shrinkToFit="0" vertical="top" wrapText="1"/>
    </xf>
    <xf borderId="8" fillId="0" fontId="3" numFmtId="49" xfId="0" applyAlignment="1" applyBorder="1" applyFont="1" applyNumberFormat="1">
      <alignment horizontal="center" readingOrder="0" shrinkToFit="0" vertical="top" wrapText="1"/>
    </xf>
    <xf borderId="0" fillId="0" fontId="4" numFmtId="0" xfId="0" applyAlignment="1" applyFont="1">
      <alignment horizontal="center" shrinkToFit="0" vertical="center" wrapText="0"/>
    </xf>
    <xf borderId="2" fillId="4" fontId="4" numFmtId="164" xfId="0" applyAlignment="1" applyBorder="1" applyFont="1" applyNumberFormat="1">
      <alignment horizontal="center" readingOrder="0" shrinkToFit="0" vertical="center" wrapText="1"/>
    </xf>
    <xf borderId="4" fillId="6" fontId="3" numFmtId="165" xfId="0" applyAlignment="1" applyBorder="1" applyFont="1" applyNumberFormat="1">
      <alignment readingOrder="0" shrinkToFit="0" vertical="top" wrapText="1"/>
    </xf>
    <xf borderId="0" fillId="0" fontId="3" numFmtId="3" xfId="0" applyAlignment="1" applyFont="1" applyNumberFormat="1">
      <alignment readingOrder="0" shrinkToFit="0" vertical="top" wrapText="1"/>
    </xf>
    <xf borderId="9" fillId="4" fontId="6" numFmtId="0" xfId="0" applyAlignment="1" applyBorder="1" applyFont="1">
      <alignment shrinkToFit="0" vertical="top" wrapText="1"/>
    </xf>
    <xf borderId="10" fillId="5" fontId="6" numFmtId="0" xfId="0" applyAlignment="1" applyBorder="1" applyFont="1">
      <alignment shrinkToFit="0" vertical="top" wrapText="1"/>
    </xf>
    <xf borderId="11" fillId="0" fontId="3" numFmtId="0" xfId="0" applyAlignment="1" applyBorder="1" applyFont="1">
      <alignment shrinkToFit="0" vertical="top" wrapText="1"/>
    </xf>
    <xf borderId="12" fillId="0" fontId="3" numFmtId="0" xfId="0" applyAlignment="1" applyBorder="1" applyFont="1">
      <alignment shrinkToFit="0" vertical="top" wrapText="1"/>
    </xf>
    <xf borderId="6" fillId="5" fontId="6" numFmtId="0" xfId="0" applyAlignment="1" applyBorder="1" applyFont="1">
      <alignment shrinkToFit="0" vertical="top" wrapText="1"/>
    </xf>
    <xf borderId="7" fillId="0" fontId="3" numFmtId="0" xfId="0" applyAlignment="1" applyBorder="1" applyFont="1">
      <alignment shrinkToFit="0" vertical="top" wrapText="1"/>
    </xf>
    <xf borderId="8" fillId="0" fontId="3"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2"/></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comments7.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4" width="33.57"/>
    <col customWidth="1" min="5" max="26" width="10.0"/>
  </cols>
  <sheetData>
    <row r="1" ht="12.75" customHeight="1"/>
    <row r="2" ht="12.75" customHeight="1"/>
    <row r="3" ht="49.5" customHeight="1">
      <c r="B3" s="1" t="s">
        <v>0</v>
      </c>
    </row>
    <row r="4" ht="12.75" customHeight="1"/>
    <row r="5" ht="12.75" customHeight="1"/>
    <row r="6" ht="12.75" customHeight="1"/>
    <row r="7" ht="12.75" customHeight="1">
      <c r="B7" s="3" t="s">
        <v>2</v>
      </c>
      <c r="C7" s="3" t="s">
        <v>3</v>
      </c>
      <c r="D7" s="3" t="s">
        <v>4</v>
      </c>
    </row>
    <row r="8" ht="12.75" customHeight="1"/>
    <row r="9" ht="12.75" customHeight="1">
      <c r="B9" s="5" t="s">
        <v>5</v>
      </c>
      <c r="C9" s="5"/>
      <c r="D9" s="5"/>
    </row>
    <row r="10" ht="12.75" customHeight="1">
      <c r="B10" s="6"/>
      <c r="C10" s="6" t="s">
        <v>1</v>
      </c>
      <c r="D10" s="9" t="s">
        <v>6</v>
      </c>
    </row>
    <row r="11" ht="12.75" customHeight="1">
      <c r="B11" s="5" t="s">
        <v>12</v>
      </c>
      <c r="C11" s="5"/>
      <c r="D11" s="5"/>
    </row>
    <row r="12" ht="12.75" customHeight="1">
      <c r="B12" s="6"/>
      <c r="C12" s="6" t="s">
        <v>1</v>
      </c>
      <c r="D12" s="9" t="s">
        <v>13</v>
      </c>
    </row>
    <row r="13" ht="12.75" customHeight="1">
      <c r="B13" s="5" t="s">
        <v>14</v>
      </c>
      <c r="C13" s="5"/>
      <c r="D13" s="5"/>
    </row>
    <row r="14" ht="12.75" customHeight="1">
      <c r="B14" s="6"/>
      <c r="C14" s="6" t="s">
        <v>1</v>
      </c>
      <c r="D14" s="9" t="s">
        <v>15</v>
      </c>
    </row>
    <row r="15" ht="12.75" customHeight="1">
      <c r="B15" s="5" t="s">
        <v>16</v>
      </c>
      <c r="C15" s="5"/>
      <c r="D15" s="5"/>
    </row>
    <row r="16" ht="12.75" customHeight="1">
      <c r="B16" s="6"/>
      <c r="C16" s="6" t="s">
        <v>1</v>
      </c>
      <c r="D16" s="9" t="s">
        <v>17</v>
      </c>
    </row>
    <row r="17" ht="12.75" customHeight="1">
      <c r="B17" s="5" t="s">
        <v>18</v>
      </c>
      <c r="C17" s="5"/>
      <c r="D17" s="5"/>
    </row>
    <row r="18" ht="12.75" customHeight="1">
      <c r="B18" s="6"/>
      <c r="C18" s="6" t="s">
        <v>19</v>
      </c>
      <c r="D18" s="9" t="s">
        <v>18</v>
      </c>
    </row>
    <row r="19" ht="12.75" customHeight="1">
      <c r="B19" s="5" t="s">
        <v>20</v>
      </c>
      <c r="C19" s="5"/>
      <c r="D19" s="5"/>
    </row>
    <row r="20" ht="12.75" customHeight="1">
      <c r="B20" s="6"/>
      <c r="C20" s="6" t="s">
        <v>19</v>
      </c>
      <c r="D20" s="9" t="s">
        <v>20</v>
      </c>
    </row>
    <row r="21" ht="12.75" customHeight="1">
      <c r="B21" s="5" t="s">
        <v>21</v>
      </c>
      <c r="C21" s="5"/>
      <c r="D21" s="5"/>
    </row>
    <row r="22" ht="12.75" customHeight="1">
      <c r="B22" s="6"/>
      <c r="C22" s="6" t="s">
        <v>19</v>
      </c>
      <c r="D22" s="9" t="s">
        <v>21</v>
      </c>
    </row>
    <row r="23" ht="12.75" customHeight="1">
      <c r="B23" s="5" t="s">
        <v>22</v>
      </c>
      <c r="C23" s="5"/>
      <c r="D23" s="5"/>
    </row>
    <row r="24" ht="12.75" customHeight="1">
      <c r="B24" s="6"/>
      <c r="C24" s="6" t="s">
        <v>19</v>
      </c>
      <c r="D24" s="9" t="s">
        <v>22</v>
      </c>
    </row>
    <row r="25" ht="12.75" customHeight="1">
      <c r="B25" s="5" t="s">
        <v>23</v>
      </c>
      <c r="C25" s="5"/>
      <c r="D25" s="5"/>
    </row>
    <row r="26" ht="12.75" customHeight="1">
      <c r="B26" s="6"/>
      <c r="C26" s="6" t="s">
        <v>19</v>
      </c>
      <c r="D26" s="9" t="s">
        <v>23</v>
      </c>
    </row>
    <row r="27" ht="12.75" customHeight="1">
      <c r="B27" s="5" t="s">
        <v>24</v>
      </c>
      <c r="C27" s="5"/>
      <c r="D27" s="5"/>
    </row>
    <row r="28" ht="12.75" customHeight="1">
      <c r="B28" s="6"/>
      <c r="C28" s="6" t="s">
        <v>19</v>
      </c>
      <c r="D28" s="9" t="s">
        <v>24</v>
      </c>
    </row>
    <row r="29" ht="12.75" customHeight="1">
      <c r="B29" s="5" t="s">
        <v>25</v>
      </c>
      <c r="C29" s="5"/>
      <c r="D29" s="5"/>
    </row>
    <row r="30" ht="12.75" customHeight="1">
      <c r="B30" s="6"/>
      <c r="C30" s="6" t="s">
        <v>19</v>
      </c>
      <c r="D30" s="9" t="s">
        <v>25</v>
      </c>
    </row>
    <row r="31" ht="12.75" customHeight="1">
      <c r="B31" s="5" t="s">
        <v>26</v>
      </c>
      <c r="C31" s="5"/>
      <c r="D31" s="5"/>
    </row>
    <row r="32" ht="12.75" customHeight="1">
      <c r="B32" s="6"/>
      <c r="C32" s="6" t="s">
        <v>19</v>
      </c>
      <c r="D32" s="9" t="s">
        <v>26</v>
      </c>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ENERO - EL PARCHE TIENDA" location="'ENERO - EL PARCHE TIENDA'!R2C1" ref="D10"/>
    <hyperlink display="FEBRERO - EL PARCHE TIENDA" location="'FEBRERO - EL PARCHE TIENDA'!R2C1" ref="D12"/>
    <hyperlink display="MARZO - EL PARCHE TIENDA" location="'MARZO - EL PARCHE TIENDA'!R2C1" ref="D14"/>
    <hyperlink display="ABRIL - EL PARCHE TIENDA" location="'ABRIL - EL PARCHE TIENDA'!R2C1" ref="D16"/>
    <hyperlink display="MAYO" location="MAYO!R2C1" ref="D18"/>
    <hyperlink display="JUNIO" location="JUNIO!R2C1" ref="D20"/>
    <hyperlink display="JULIO" location="JULIO!R2C1" ref="D22"/>
    <hyperlink display="AGOSTO" location="AGOSTO!R2C1" ref="D24"/>
    <hyperlink display="SEPTIEMBRE " location="'SEPTIEMBRE '!R2C1" ref="D26"/>
    <hyperlink display="OCTUBRE " location="'OCTUBRE '!R2C1" ref="D28"/>
    <hyperlink display="NOVIEMBRE " location="'NOVIEMBRE '!R2C1" ref="D30"/>
    <hyperlink display="DICIEMBRE " location="'DICIEMBRE '!R2C1" ref="D32"/>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6.29"/>
    <col customWidth="1" min="2" max="2" width="19.29"/>
    <col customWidth="1" min="3" max="5" width="16.43"/>
    <col customWidth="1" min="6" max="6" width="17.14"/>
    <col customWidth="1" min="7" max="26" width="16.29"/>
  </cols>
  <sheetData>
    <row r="1" ht="27.0" customHeight="1">
      <c r="A1" s="2" t="s">
        <v>1</v>
      </c>
      <c r="G1" s="4"/>
      <c r="H1" s="4"/>
      <c r="I1" s="4"/>
      <c r="J1" s="4"/>
      <c r="K1" s="4"/>
      <c r="L1" s="4"/>
      <c r="M1" s="4"/>
      <c r="N1" s="4"/>
      <c r="O1" s="4"/>
      <c r="P1" s="4"/>
      <c r="Q1" s="4"/>
      <c r="R1" s="4"/>
      <c r="S1" s="4"/>
      <c r="T1" s="4"/>
      <c r="U1" s="4"/>
      <c r="V1" s="4"/>
      <c r="W1" s="4"/>
      <c r="X1" s="4"/>
      <c r="Y1" s="4"/>
      <c r="Z1" s="4"/>
    </row>
    <row r="2" ht="37.5" customHeight="1">
      <c r="A2" s="7">
        <v>46023.0</v>
      </c>
      <c r="B2" s="8" t="s">
        <v>7</v>
      </c>
      <c r="C2" s="8" t="s">
        <v>8</v>
      </c>
      <c r="D2" s="8" t="s">
        <v>9</v>
      </c>
      <c r="E2" s="8" t="s">
        <v>10</v>
      </c>
      <c r="F2" s="8" t="s">
        <v>11</v>
      </c>
      <c r="G2" s="4"/>
      <c r="H2" s="4"/>
      <c r="I2" s="4"/>
      <c r="J2" s="4"/>
      <c r="K2" s="4"/>
      <c r="L2" s="4"/>
      <c r="M2" s="4"/>
      <c r="N2" s="4"/>
      <c r="O2" s="4"/>
      <c r="P2" s="4"/>
      <c r="Q2" s="4"/>
      <c r="R2" s="4"/>
      <c r="S2" s="4"/>
      <c r="T2" s="4"/>
      <c r="U2" s="4"/>
      <c r="V2" s="4"/>
      <c r="W2" s="4"/>
      <c r="X2" s="4"/>
      <c r="Y2" s="4"/>
      <c r="Z2" s="4"/>
    </row>
    <row r="3" ht="19.5" customHeight="1">
      <c r="A3" s="10">
        <v>1.0</v>
      </c>
      <c r="B3" s="11">
        <v>0.0</v>
      </c>
      <c r="C3" s="12">
        <v>0.0</v>
      </c>
      <c r="D3" s="13">
        <f t="array" ref="D3">B3-C3</f>
        <v>0</v>
      </c>
      <c r="E3" s="12">
        <v>0.0</v>
      </c>
      <c r="F3" s="14">
        <f t="array" ref="F3">B3-C3-E3</f>
        <v>0</v>
      </c>
      <c r="G3" s="4"/>
      <c r="H3" s="4"/>
      <c r="I3" s="4"/>
      <c r="J3" s="4"/>
      <c r="K3" s="4"/>
      <c r="L3" s="4"/>
      <c r="M3" s="4"/>
      <c r="N3" s="4"/>
      <c r="O3" s="4"/>
      <c r="P3" s="4"/>
      <c r="Q3" s="4"/>
      <c r="R3" s="4"/>
      <c r="S3" s="4"/>
      <c r="T3" s="4"/>
      <c r="U3" s="4"/>
      <c r="V3" s="4"/>
      <c r="W3" s="4"/>
      <c r="X3" s="4"/>
      <c r="Y3" s="4"/>
      <c r="Z3" s="4"/>
    </row>
    <row r="4" ht="19.5" customHeight="1">
      <c r="A4" s="15">
        <v>2.0</v>
      </c>
      <c r="B4" s="16">
        <v>0.0</v>
      </c>
      <c r="C4" s="17">
        <v>0.0</v>
      </c>
      <c r="D4" s="18">
        <f t="array" ref="D4">B4-C4</f>
        <v>0</v>
      </c>
      <c r="E4" s="17">
        <v>0.0</v>
      </c>
      <c r="F4" s="19">
        <f t="array" ref="F4">B4-C4-E4</f>
        <v>0</v>
      </c>
      <c r="G4" s="4"/>
      <c r="H4" s="4"/>
      <c r="I4" s="4"/>
      <c r="J4" s="4"/>
      <c r="K4" s="4"/>
      <c r="L4" s="4"/>
      <c r="M4" s="4"/>
      <c r="N4" s="4"/>
      <c r="O4" s="4"/>
      <c r="P4" s="4"/>
      <c r="Q4" s="4"/>
      <c r="R4" s="4"/>
      <c r="S4" s="4"/>
      <c r="T4" s="4"/>
      <c r="U4" s="4"/>
      <c r="V4" s="4"/>
      <c r="W4" s="4"/>
      <c r="X4" s="4"/>
      <c r="Y4" s="4"/>
      <c r="Z4" s="4"/>
    </row>
    <row r="5" ht="19.5" customHeight="1">
      <c r="A5" s="15">
        <v>3.0</v>
      </c>
      <c r="B5" s="16">
        <v>0.0</v>
      </c>
      <c r="C5" s="17">
        <v>0.0</v>
      </c>
      <c r="D5" s="18">
        <f t="array" ref="D5">B5-C5</f>
        <v>0</v>
      </c>
      <c r="E5" s="17">
        <v>0.0</v>
      </c>
      <c r="F5" s="19">
        <f t="array" ref="F5">B5-C5-E5</f>
        <v>0</v>
      </c>
      <c r="G5" s="4"/>
      <c r="H5" s="4"/>
      <c r="I5" s="4"/>
      <c r="J5" s="4"/>
      <c r="K5" s="4"/>
      <c r="L5" s="4"/>
      <c r="M5" s="4"/>
      <c r="N5" s="4"/>
      <c r="O5" s="4"/>
      <c r="P5" s="4"/>
      <c r="Q5" s="4"/>
      <c r="R5" s="4"/>
      <c r="S5" s="4"/>
      <c r="T5" s="4"/>
      <c r="U5" s="4"/>
      <c r="V5" s="4"/>
      <c r="W5" s="4"/>
      <c r="X5" s="4"/>
      <c r="Y5" s="4"/>
      <c r="Z5" s="4"/>
    </row>
    <row r="6" ht="19.5" customHeight="1">
      <c r="A6" s="15">
        <v>4.0</v>
      </c>
      <c r="B6" s="16">
        <v>0.0</v>
      </c>
      <c r="C6" s="17">
        <v>0.0</v>
      </c>
      <c r="D6" s="18">
        <f t="array" ref="D6">B6-C6</f>
        <v>0</v>
      </c>
      <c r="E6" s="17">
        <v>0.0</v>
      </c>
      <c r="F6" s="19">
        <f t="array" ref="F6">B6-C6-E6</f>
        <v>0</v>
      </c>
      <c r="G6" s="4"/>
      <c r="H6" s="4"/>
      <c r="I6" s="4"/>
      <c r="J6" s="4"/>
      <c r="K6" s="4"/>
      <c r="L6" s="4"/>
      <c r="M6" s="4"/>
      <c r="N6" s="4"/>
      <c r="O6" s="4"/>
      <c r="P6" s="4"/>
      <c r="Q6" s="4"/>
      <c r="R6" s="4"/>
      <c r="S6" s="4"/>
      <c r="T6" s="4"/>
      <c r="U6" s="4"/>
      <c r="V6" s="4"/>
      <c r="W6" s="4"/>
      <c r="X6" s="4"/>
      <c r="Y6" s="4"/>
      <c r="Z6" s="4"/>
    </row>
    <row r="7" ht="19.5" customHeight="1">
      <c r="A7" s="15">
        <v>5.0</v>
      </c>
      <c r="B7" s="16">
        <v>0.0</v>
      </c>
      <c r="C7" s="17">
        <v>0.0</v>
      </c>
      <c r="D7" s="18">
        <f t="array" ref="D7">B7-C7</f>
        <v>0</v>
      </c>
      <c r="E7" s="17">
        <v>0.0</v>
      </c>
      <c r="F7" s="19">
        <f t="array" ref="F7">B7-C7-E7</f>
        <v>0</v>
      </c>
      <c r="G7" s="4"/>
      <c r="H7" s="4"/>
      <c r="I7" s="4"/>
      <c r="J7" s="4"/>
      <c r="K7" s="4"/>
      <c r="L7" s="4"/>
      <c r="M7" s="4"/>
      <c r="N7" s="4"/>
      <c r="O7" s="4"/>
      <c r="P7" s="4"/>
      <c r="Q7" s="4"/>
      <c r="R7" s="4"/>
      <c r="S7" s="4"/>
      <c r="T7" s="4"/>
      <c r="U7" s="4"/>
      <c r="V7" s="4"/>
      <c r="W7" s="4"/>
      <c r="X7" s="4"/>
      <c r="Y7" s="4"/>
      <c r="Z7" s="4"/>
    </row>
    <row r="8" ht="19.5" customHeight="1">
      <c r="A8" s="15">
        <v>6.0</v>
      </c>
      <c r="B8" s="16">
        <v>0.0</v>
      </c>
      <c r="C8" s="17">
        <v>0.0</v>
      </c>
      <c r="D8" s="18">
        <f t="array" ref="D8">B8-C8</f>
        <v>0</v>
      </c>
      <c r="E8" s="17">
        <v>0.0</v>
      </c>
      <c r="F8" s="19">
        <f t="array" ref="F8">B8-C8-E8</f>
        <v>0</v>
      </c>
      <c r="G8" s="4"/>
      <c r="H8" s="4"/>
      <c r="I8" s="4"/>
      <c r="J8" s="4"/>
      <c r="K8" s="4"/>
      <c r="L8" s="4"/>
      <c r="M8" s="4"/>
      <c r="N8" s="4"/>
      <c r="O8" s="4"/>
      <c r="P8" s="4"/>
      <c r="Q8" s="4"/>
      <c r="R8" s="4"/>
      <c r="S8" s="4"/>
      <c r="T8" s="4"/>
      <c r="U8" s="4"/>
      <c r="V8" s="4"/>
      <c r="W8" s="4"/>
      <c r="X8" s="4"/>
      <c r="Y8" s="4"/>
      <c r="Z8" s="4"/>
    </row>
    <row r="9" ht="19.5" customHeight="1">
      <c r="A9" s="15">
        <v>7.0</v>
      </c>
      <c r="B9" s="16">
        <v>0.0</v>
      </c>
      <c r="C9" s="17">
        <v>0.0</v>
      </c>
      <c r="D9" s="18">
        <f t="array" ref="D9">B9-C9</f>
        <v>0</v>
      </c>
      <c r="E9" s="17">
        <v>0.0</v>
      </c>
      <c r="F9" s="19">
        <f t="array" ref="F9">B9-C9-E9</f>
        <v>0</v>
      </c>
      <c r="G9" s="4"/>
      <c r="H9" s="4"/>
      <c r="I9" s="4"/>
      <c r="J9" s="4"/>
      <c r="K9" s="4"/>
      <c r="L9" s="4"/>
      <c r="M9" s="4"/>
      <c r="N9" s="4"/>
      <c r="O9" s="4"/>
      <c r="P9" s="4"/>
      <c r="Q9" s="4"/>
      <c r="R9" s="4"/>
      <c r="S9" s="4"/>
      <c r="T9" s="4"/>
      <c r="U9" s="4"/>
      <c r="V9" s="4"/>
      <c r="W9" s="4"/>
      <c r="X9" s="4"/>
      <c r="Y9" s="4"/>
      <c r="Z9" s="4"/>
    </row>
    <row r="10" ht="19.5" customHeight="1">
      <c r="A10" s="15">
        <v>8.0</v>
      </c>
      <c r="B10" s="16">
        <v>0.0</v>
      </c>
      <c r="C10" s="17">
        <v>0.0</v>
      </c>
      <c r="D10" s="18">
        <f t="array" ref="D10">B10-C10</f>
        <v>0</v>
      </c>
      <c r="E10" s="17">
        <v>0.0</v>
      </c>
      <c r="F10" s="19">
        <f t="array" ref="F10">B10-C10-E10</f>
        <v>0</v>
      </c>
      <c r="G10" s="4"/>
      <c r="H10" s="4"/>
      <c r="I10" s="4"/>
      <c r="J10" s="4"/>
      <c r="K10" s="4"/>
      <c r="L10" s="4"/>
      <c r="M10" s="4"/>
      <c r="N10" s="4"/>
      <c r="O10" s="4"/>
      <c r="P10" s="4"/>
      <c r="Q10" s="4"/>
      <c r="R10" s="4"/>
      <c r="S10" s="4"/>
      <c r="T10" s="4"/>
      <c r="U10" s="4"/>
      <c r="V10" s="4"/>
      <c r="W10" s="4"/>
      <c r="X10" s="4"/>
      <c r="Y10" s="4"/>
      <c r="Z10" s="4"/>
    </row>
    <row r="11" ht="19.5" customHeight="1">
      <c r="A11" s="15">
        <v>9.0</v>
      </c>
      <c r="B11" s="16">
        <v>0.0</v>
      </c>
      <c r="C11" s="17">
        <v>0.0</v>
      </c>
      <c r="D11" s="18">
        <f t="array" ref="D11">B11-C11</f>
        <v>0</v>
      </c>
      <c r="E11" s="17">
        <v>0.0</v>
      </c>
      <c r="F11" s="19">
        <f t="array" ref="F11">B11-C11-E11</f>
        <v>0</v>
      </c>
      <c r="G11" s="4"/>
      <c r="H11" s="4"/>
      <c r="I11" s="4"/>
      <c r="J11" s="4"/>
      <c r="K11" s="4"/>
      <c r="L11" s="4"/>
      <c r="M11" s="4"/>
      <c r="N11" s="4"/>
      <c r="O11" s="4"/>
      <c r="P11" s="4"/>
      <c r="Q11" s="4"/>
      <c r="R11" s="4"/>
      <c r="S11" s="4"/>
      <c r="T11" s="4"/>
      <c r="U11" s="4"/>
      <c r="V11" s="4"/>
      <c r="W11" s="4"/>
      <c r="X11" s="4"/>
      <c r="Y11" s="4"/>
      <c r="Z11" s="4"/>
    </row>
    <row r="12" ht="19.5" customHeight="1">
      <c r="A12" s="15">
        <v>10.0</v>
      </c>
      <c r="B12" s="16">
        <v>0.0</v>
      </c>
      <c r="C12" s="17">
        <v>0.0</v>
      </c>
      <c r="D12" s="18">
        <f t="array" ref="D12">B12-C12</f>
        <v>0</v>
      </c>
      <c r="E12" s="17">
        <v>0.0</v>
      </c>
      <c r="F12" s="19">
        <f t="array" ref="F12">B12-C12-E12</f>
        <v>0</v>
      </c>
      <c r="G12" s="4"/>
      <c r="H12" s="4"/>
      <c r="I12" s="4"/>
      <c r="J12" s="4"/>
      <c r="K12" s="4"/>
      <c r="L12" s="4"/>
      <c r="M12" s="4"/>
      <c r="N12" s="4"/>
      <c r="O12" s="4"/>
      <c r="P12" s="4"/>
      <c r="Q12" s="4"/>
      <c r="R12" s="4"/>
      <c r="S12" s="4"/>
      <c r="T12" s="4"/>
      <c r="U12" s="4"/>
      <c r="V12" s="4"/>
      <c r="W12" s="4"/>
      <c r="X12" s="4"/>
      <c r="Y12" s="4"/>
      <c r="Z12" s="4"/>
    </row>
    <row r="13" ht="19.5" customHeight="1">
      <c r="A13" s="15">
        <v>11.0</v>
      </c>
      <c r="B13" s="16">
        <v>0.0</v>
      </c>
      <c r="C13" s="17">
        <v>0.0</v>
      </c>
      <c r="D13" s="18">
        <f t="array" ref="D13">B13-C13</f>
        <v>0</v>
      </c>
      <c r="E13" s="17">
        <v>0.0</v>
      </c>
      <c r="F13" s="19">
        <f t="array" ref="F13">B13-C13-E13</f>
        <v>0</v>
      </c>
      <c r="G13" s="4"/>
      <c r="H13" s="4"/>
      <c r="I13" s="4"/>
      <c r="J13" s="4"/>
      <c r="K13" s="4"/>
      <c r="L13" s="4"/>
      <c r="M13" s="4"/>
      <c r="N13" s="4"/>
      <c r="O13" s="4"/>
      <c r="P13" s="4"/>
      <c r="Q13" s="4"/>
      <c r="R13" s="4"/>
      <c r="S13" s="4"/>
      <c r="T13" s="4"/>
      <c r="U13" s="4"/>
      <c r="V13" s="4"/>
      <c r="W13" s="4"/>
      <c r="X13" s="4"/>
      <c r="Y13" s="4"/>
      <c r="Z13" s="4"/>
    </row>
    <row r="14" ht="19.5" customHeight="1">
      <c r="A14" s="15">
        <v>12.0</v>
      </c>
      <c r="B14" s="16">
        <v>0.0</v>
      </c>
      <c r="C14" s="17">
        <v>0.0</v>
      </c>
      <c r="D14" s="18">
        <f t="array" ref="D14">B14-C14</f>
        <v>0</v>
      </c>
      <c r="E14" s="17">
        <v>0.0</v>
      </c>
      <c r="F14" s="19">
        <f t="array" ref="F14">B14-C14-E14</f>
        <v>0</v>
      </c>
      <c r="G14" s="4"/>
      <c r="H14" s="4"/>
      <c r="I14" s="4"/>
      <c r="J14" s="4"/>
      <c r="K14" s="4"/>
      <c r="L14" s="4"/>
      <c r="M14" s="4"/>
      <c r="N14" s="4"/>
      <c r="O14" s="4"/>
      <c r="P14" s="4"/>
      <c r="Q14" s="4"/>
      <c r="R14" s="4"/>
      <c r="S14" s="4"/>
      <c r="T14" s="4"/>
      <c r="U14" s="4"/>
      <c r="V14" s="4"/>
      <c r="W14" s="4"/>
      <c r="X14" s="4"/>
      <c r="Y14" s="4"/>
      <c r="Z14" s="4"/>
    </row>
    <row r="15" ht="19.5" customHeight="1">
      <c r="A15" s="15">
        <v>13.0</v>
      </c>
      <c r="B15" s="16">
        <v>0.0</v>
      </c>
      <c r="C15" s="17">
        <v>0.0</v>
      </c>
      <c r="D15" s="18">
        <f t="array" ref="D15">B15-C15</f>
        <v>0</v>
      </c>
      <c r="E15" s="17">
        <v>0.0</v>
      </c>
      <c r="F15" s="19">
        <f t="array" ref="F15">B15-C15-E15</f>
        <v>0</v>
      </c>
      <c r="G15" s="4"/>
      <c r="H15" s="4"/>
      <c r="I15" s="4"/>
      <c r="J15" s="4"/>
      <c r="K15" s="4"/>
      <c r="L15" s="4"/>
      <c r="M15" s="4"/>
      <c r="N15" s="4"/>
      <c r="O15" s="4"/>
      <c r="P15" s="4"/>
      <c r="Q15" s="4"/>
      <c r="R15" s="4"/>
      <c r="S15" s="4"/>
      <c r="T15" s="4"/>
      <c r="U15" s="4"/>
      <c r="V15" s="4"/>
      <c r="W15" s="4"/>
      <c r="X15" s="4"/>
      <c r="Y15" s="4"/>
      <c r="Z15" s="4"/>
    </row>
    <row r="16" ht="19.5" customHeight="1">
      <c r="A16" s="15">
        <v>14.0</v>
      </c>
      <c r="B16" s="16">
        <v>0.0</v>
      </c>
      <c r="C16" s="17">
        <v>0.0</v>
      </c>
      <c r="D16" s="18">
        <f t="array" ref="D16">B16-C16</f>
        <v>0</v>
      </c>
      <c r="E16" s="17">
        <v>0.0</v>
      </c>
      <c r="F16" s="19">
        <f t="array" ref="F16">B16-C16-E16</f>
        <v>0</v>
      </c>
      <c r="G16" s="4"/>
      <c r="H16" s="4"/>
      <c r="I16" s="4"/>
      <c r="J16" s="4"/>
      <c r="K16" s="4"/>
      <c r="L16" s="4"/>
      <c r="M16" s="4"/>
      <c r="N16" s="4"/>
      <c r="O16" s="4"/>
      <c r="P16" s="4"/>
      <c r="Q16" s="4"/>
      <c r="R16" s="4"/>
      <c r="S16" s="4"/>
      <c r="T16" s="4"/>
      <c r="U16" s="4"/>
      <c r="V16" s="4"/>
      <c r="W16" s="4"/>
      <c r="X16" s="4"/>
      <c r="Y16" s="4"/>
      <c r="Z16" s="4"/>
    </row>
    <row r="17" ht="19.5" customHeight="1">
      <c r="A17" s="15">
        <v>15.0</v>
      </c>
      <c r="B17" s="16">
        <v>825250.0</v>
      </c>
      <c r="C17" s="17">
        <v>490000.0</v>
      </c>
      <c r="D17" s="18">
        <f t="array" ref="D17">B17-C17</f>
        <v>335250</v>
      </c>
      <c r="E17" s="17">
        <v>198200.0</v>
      </c>
      <c r="F17" s="19">
        <f t="array" ref="F17">B17-C17-E17</f>
        <v>137050</v>
      </c>
      <c r="G17" s="4"/>
      <c r="H17" s="4"/>
      <c r="I17" s="4"/>
      <c r="J17" s="4"/>
      <c r="K17" s="4"/>
      <c r="L17" s="4"/>
      <c r="M17" s="4"/>
      <c r="N17" s="4"/>
      <c r="O17" s="4"/>
      <c r="P17" s="4"/>
      <c r="Q17" s="4"/>
      <c r="R17" s="4"/>
      <c r="S17" s="4"/>
      <c r="T17" s="4"/>
      <c r="U17" s="4"/>
      <c r="V17" s="4"/>
      <c r="W17" s="4"/>
      <c r="X17" s="4"/>
      <c r="Y17" s="4"/>
      <c r="Z17" s="4"/>
    </row>
    <row r="18" ht="19.5" customHeight="1">
      <c r="A18" s="15">
        <v>16.0</v>
      </c>
      <c r="B18" s="16">
        <v>60000.0</v>
      </c>
      <c r="C18" s="17">
        <v>30000.0</v>
      </c>
      <c r="D18" s="18">
        <f t="array" ref="D18">B18-C18</f>
        <v>30000</v>
      </c>
      <c r="E18" s="17">
        <v>0.0</v>
      </c>
      <c r="F18" s="19">
        <f t="array" ref="F18">B18-C18-E18</f>
        <v>30000</v>
      </c>
      <c r="G18" s="4"/>
      <c r="H18" s="4"/>
      <c r="I18" s="4"/>
      <c r="J18" s="4"/>
      <c r="K18" s="4"/>
      <c r="L18" s="4"/>
      <c r="M18" s="4"/>
      <c r="N18" s="4"/>
      <c r="O18" s="4"/>
      <c r="P18" s="4"/>
      <c r="Q18" s="4"/>
      <c r="R18" s="4"/>
      <c r="S18" s="4"/>
      <c r="T18" s="4"/>
      <c r="U18" s="4"/>
      <c r="V18" s="4"/>
      <c r="W18" s="4"/>
      <c r="X18" s="4"/>
      <c r="Y18" s="4"/>
      <c r="Z18" s="4"/>
    </row>
    <row r="19" ht="19.5" customHeight="1">
      <c r="A19" s="15">
        <v>17.0</v>
      </c>
      <c r="B19" s="16">
        <v>399000.0</v>
      </c>
      <c r="C19" s="17">
        <v>228000.0</v>
      </c>
      <c r="D19" s="18">
        <f t="array" ref="D19">B19-C19</f>
        <v>171000</v>
      </c>
      <c r="E19" s="20">
        <v>2000.0</v>
      </c>
      <c r="F19" s="19">
        <f t="array" ref="F19">B19-C19-E19</f>
        <v>169000</v>
      </c>
      <c r="G19" s="4"/>
      <c r="H19" s="4"/>
      <c r="I19" s="4"/>
      <c r="J19" s="4"/>
      <c r="K19" s="4"/>
      <c r="L19" s="4"/>
      <c r="M19" s="4"/>
      <c r="N19" s="4"/>
      <c r="O19" s="4"/>
      <c r="P19" s="4"/>
      <c r="Q19" s="4"/>
      <c r="R19" s="4"/>
      <c r="S19" s="4"/>
      <c r="T19" s="4"/>
      <c r="U19" s="4"/>
      <c r="V19" s="4"/>
      <c r="W19" s="4"/>
      <c r="X19" s="4"/>
      <c r="Y19" s="4"/>
      <c r="Z19" s="4"/>
    </row>
    <row r="20" ht="19.5" customHeight="1">
      <c r="A20" s="15">
        <v>18.0</v>
      </c>
      <c r="B20" s="16">
        <v>0.0</v>
      </c>
      <c r="C20" s="17">
        <v>0.0</v>
      </c>
      <c r="D20" s="18">
        <f t="array" ref="D20">B20-C20</f>
        <v>0</v>
      </c>
      <c r="E20" s="20">
        <v>340000.0</v>
      </c>
      <c r="F20" s="19">
        <f t="array" ref="F20">B20-C20-E20</f>
        <v>-340000</v>
      </c>
      <c r="G20" s="4"/>
      <c r="H20" s="4"/>
      <c r="I20" s="4"/>
      <c r="J20" s="4"/>
      <c r="K20" s="4"/>
      <c r="L20" s="4"/>
      <c r="M20" s="4"/>
      <c r="N20" s="4"/>
      <c r="O20" s="4"/>
      <c r="P20" s="4"/>
      <c r="Q20" s="4"/>
      <c r="R20" s="4"/>
      <c r="S20" s="4"/>
      <c r="T20" s="4"/>
      <c r="U20" s="4"/>
      <c r="V20" s="4"/>
      <c r="W20" s="4"/>
      <c r="X20" s="4"/>
      <c r="Y20" s="4"/>
      <c r="Z20" s="4"/>
    </row>
    <row r="21" ht="19.5" customHeight="1">
      <c r="A21" s="15">
        <v>19.0</v>
      </c>
      <c r="B21" s="16">
        <v>231000.0</v>
      </c>
      <c r="C21" s="17">
        <v>132000.0</v>
      </c>
      <c r="D21" s="18">
        <f t="array" ref="D21">B21-C21</f>
        <v>99000</v>
      </c>
      <c r="E21" s="20">
        <v>100000.0</v>
      </c>
      <c r="F21" s="19">
        <f t="array" ref="F21">B21-C21-E21</f>
        <v>-1000</v>
      </c>
      <c r="G21" s="4"/>
      <c r="H21" s="4"/>
      <c r="I21" s="4"/>
      <c r="J21" s="4"/>
      <c r="K21" s="4"/>
      <c r="L21" s="4"/>
      <c r="M21" s="4"/>
      <c r="N21" s="4"/>
      <c r="O21" s="4"/>
      <c r="P21" s="4"/>
      <c r="Q21" s="4"/>
      <c r="R21" s="4"/>
      <c r="S21" s="4"/>
      <c r="T21" s="4"/>
      <c r="U21" s="4"/>
      <c r="V21" s="4"/>
      <c r="W21" s="4"/>
      <c r="X21" s="4"/>
      <c r="Y21" s="4"/>
      <c r="Z21" s="4"/>
    </row>
    <row r="22" ht="19.5" customHeight="1">
      <c r="A22" s="15">
        <v>20.0</v>
      </c>
      <c r="B22" s="16">
        <v>87500.0</v>
      </c>
      <c r="C22" s="17">
        <v>50000.0</v>
      </c>
      <c r="D22" s="18">
        <f t="array" ref="D22">B22-C22</f>
        <v>37500</v>
      </c>
      <c r="E22" s="17">
        <v>0.0</v>
      </c>
      <c r="F22" s="19">
        <f t="array" ref="F22">B22-C22-E22</f>
        <v>37500</v>
      </c>
      <c r="G22" s="4"/>
      <c r="H22" s="4"/>
      <c r="I22" s="4"/>
      <c r="J22" s="4"/>
      <c r="K22" s="4"/>
      <c r="L22" s="4"/>
      <c r="M22" s="4"/>
      <c r="N22" s="4"/>
      <c r="O22" s="4"/>
      <c r="P22" s="4"/>
      <c r="Q22" s="4"/>
      <c r="R22" s="4"/>
      <c r="S22" s="4"/>
      <c r="T22" s="4"/>
      <c r="U22" s="4"/>
      <c r="V22" s="4"/>
      <c r="W22" s="4"/>
      <c r="X22" s="4"/>
      <c r="Y22" s="4"/>
      <c r="Z22" s="4"/>
    </row>
    <row r="23" ht="19.5" customHeight="1">
      <c r="A23" s="15">
        <v>21.0</v>
      </c>
      <c r="B23" s="16">
        <v>355250.0</v>
      </c>
      <c r="C23" s="17">
        <v>221000.0</v>
      </c>
      <c r="D23" s="18">
        <f t="array" ref="D23">B23-C23</f>
        <v>134250</v>
      </c>
      <c r="E23" s="20">
        <v>15000.0</v>
      </c>
      <c r="F23" s="19">
        <f t="array" ref="F23">B23-C23-E23</f>
        <v>119250</v>
      </c>
      <c r="G23" s="4"/>
      <c r="H23" s="4"/>
      <c r="I23" s="4"/>
      <c r="J23" s="4"/>
      <c r="K23" s="4"/>
      <c r="L23" s="4"/>
      <c r="M23" s="4"/>
      <c r="N23" s="4"/>
      <c r="O23" s="4"/>
      <c r="P23" s="4"/>
      <c r="Q23" s="4"/>
      <c r="R23" s="4"/>
      <c r="S23" s="4"/>
      <c r="T23" s="4"/>
      <c r="U23" s="4"/>
      <c r="V23" s="4"/>
      <c r="W23" s="4"/>
      <c r="X23" s="4"/>
      <c r="Y23" s="4"/>
      <c r="Z23" s="4"/>
    </row>
    <row r="24" ht="19.5" customHeight="1">
      <c r="A24" s="15">
        <v>22.0</v>
      </c>
      <c r="B24" s="16">
        <v>78750.0</v>
      </c>
      <c r="C24" s="17">
        <v>60000.0</v>
      </c>
      <c r="D24" s="18">
        <f t="array" ref="D24">B24-C24</f>
        <v>18750</v>
      </c>
      <c r="E24" s="17">
        <v>0.0</v>
      </c>
      <c r="F24" s="19">
        <f t="array" ref="F24">B24-C24-E24</f>
        <v>18750</v>
      </c>
      <c r="G24" s="4"/>
      <c r="H24" s="4"/>
      <c r="I24" s="4"/>
      <c r="J24" s="4"/>
      <c r="K24" s="4"/>
      <c r="L24" s="4"/>
      <c r="M24" s="4"/>
      <c r="N24" s="4"/>
      <c r="O24" s="4"/>
      <c r="P24" s="4"/>
      <c r="Q24" s="4"/>
      <c r="R24" s="4"/>
      <c r="S24" s="4"/>
      <c r="T24" s="4"/>
      <c r="U24" s="4"/>
      <c r="V24" s="4"/>
      <c r="W24" s="4"/>
      <c r="X24" s="4"/>
      <c r="Y24" s="4"/>
      <c r="Z24" s="4"/>
    </row>
    <row r="25" ht="19.5" customHeight="1">
      <c r="A25" s="15">
        <v>23.0</v>
      </c>
      <c r="B25" s="16">
        <v>0.0</v>
      </c>
      <c r="C25" s="17">
        <v>0.0</v>
      </c>
      <c r="D25" s="18">
        <f t="array" ref="D25">B25-C25</f>
        <v>0</v>
      </c>
      <c r="E25" s="17">
        <v>0.0</v>
      </c>
      <c r="F25" s="19">
        <f t="array" ref="F25">B25-C25-E25</f>
        <v>0</v>
      </c>
      <c r="G25" s="4"/>
      <c r="H25" s="4"/>
      <c r="I25" s="4"/>
      <c r="J25" s="4"/>
      <c r="K25" s="4"/>
      <c r="L25" s="4"/>
      <c r="M25" s="4"/>
      <c r="N25" s="4"/>
      <c r="O25" s="4"/>
      <c r="P25" s="4"/>
      <c r="Q25" s="4"/>
      <c r="R25" s="4"/>
      <c r="S25" s="4"/>
      <c r="T25" s="4"/>
      <c r="U25" s="4"/>
      <c r="V25" s="4"/>
      <c r="W25" s="4"/>
      <c r="X25" s="4"/>
      <c r="Y25" s="4"/>
      <c r="Z25" s="4"/>
    </row>
    <row r="26" ht="19.5" customHeight="1">
      <c r="A26" s="15">
        <v>24.0</v>
      </c>
      <c r="B26" s="16">
        <v>442400.0</v>
      </c>
      <c r="C26" s="17">
        <v>252941.0</v>
      </c>
      <c r="D26" s="18">
        <f t="array" ref="D26">B26-C26</f>
        <v>189459</v>
      </c>
      <c r="E26" s="17">
        <v>0.0</v>
      </c>
      <c r="F26" s="19">
        <f t="array" ref="F26">B26-C26-E26</f>
        <v>189459</v>
      </c>
      <c r="G26" s="4"/>
      <c r="H26" s="4"/>
      <c r="I26" s="4"/>
      <c r="J26" s="4"/>
      <c r="K26" s="4"/>
      <c r="L26" s="4"/>
      <c r="M26" s="4"/>
      <c r="N26" s="4"/>
      <c r="O26" s="4"/>
      <c r="P26" s="4"/>
      <c r="Q26" s="4"/>
      <c r="R26" s="4"/>
      <c r="S26" s="4"/>
      <c r="T26" s="4"/>
      <c r="U26" s="4"/>
      <c r="V26" s="4"/>
      <c r="W26" s="4"/>
      <c r="X26" s="4"/>
      <c r="Y26" s="4"/>
      <c r="Z26" s="4"/>
    </row>
    <row r="27" ht="19.5" customHeight="1">
      <c r="A27" s="15">
        <v>25.0</v>
      </c>
      <c r="B27" s="16">
        <v>0.0</v>
      </c>
      <c r="C27" s="17">
        <v>0.0</v>
      </c>
      <c r="D27" s="18">
        <f t="array" ref="D27">B27-C27</f>
        <v>0</v>
      </c>
      <c r="E27" s="17">
        <v>0.0</v>
      </c>
      <c r="F27" s="19">
        <f t="array" ref="F27">B27-C27-E27</f>
        <v>0</v>
      </c>
      <c r="G27" s="4"/>
      <c r="H27" s="4"/>
      <c r="I27" s="4"/>
      <c r="J27" s="4"/>
      <c r="K27" s="4"/>
      <c r="L27" s="4"/>
      <c r="M27" s="4"/>
      <c r="N27" s="4"/>
      <c r="O27" s="4"/>
      <c r="P27" s="4"/>
      <c r="Q27" s="4"/>
      <c r="R27" s="4"/>
      <c r="S27" s="4"/>
      <c r="T27" s="4"/>
      <c r="U27" s="4"/>
      <c r="V27" s="4"/>
      <c r="W27" s="4"/>
      <c r="X27" s="4"/>
      <c r="Y27" s="4"/>
      <c r="Z27" s="4"/>
    </row>
    <row r="28" ht="19.5" customHeight="1">
      <c r="A28" s="15">
        <v>26.0</v>
      </c>
      <c r="B28" s="16">
        <v>0.0</v>
      </c>
      <c r="C28" s="17">
        <v>0.0</v>
      </c>
      <c r="D28" s="18">
        <f t="array" ref="D28">B28-C28</f>
        <v>0</v>
      </c>
      <c r="E28" s="20">
        <v>20000.0</v>
      </c>
      <c r="F28" s="19">
        <f t="array" ref="F28">B28-C28-E28</f>
        <v>-20000</v>
      </c>
      <c r="G28" s="4"/>
      <c r="H28" s="4"/>
      <c r="I28" s="4"/>
      <c r="J28" s="4"/>
      <c r="K28" s="4"/>
      <c r="L28" s="4"/>
      <c r="M28" s="4"/>
      <c r="N28" s="4"/>
      <c r="O28" s="4"/>
      <c r="P28" s="4"/>
      <c r="Q28" s="4"/>
      <c r="R28" s="4"/>
      <c r="S28" s="4"/>
      <c r="T28" s="4"/>
      <c r="U28" s="4"/>
      <c r="V28" s="4"/>
      <c r="W28" s="4"/>
      <c r="X28" s="4"/>
      <c r="Y28" s="4"/>
      <c r="Z28" s="4"/>
    </row>
    <row r="29" ht="19.5" customHeight="1">
      <c r="A29" s="15">
        <v>27.0</v>
      </c>
      <c r="B29" s="16">
        <v>0.0</v>
      </c>
      <c r="C29" s="17">
        <v>0.0</v>
      </c>
      <c r="D29" s="18">
        <f t="array" ref="D29">B29-C29</f>
        <v>0</v>
      </c>
      <c r="E29" s="17">
        <v>0.0</v>
      </c>
      <c r="F29" s="19">
        <f t="array" ref="F29">B29-C29-E29</f>
        <v>0</v>
      </c>
      <c r="G29" s="4"/>
      <c r="H29" s="4"/>
      <c r="I29" s="4"/>
      <c r="J29" s="4"/>
      <c r="K29" s="4"/>
      <c r="L29" s="4"/>
      <c r="M29" s="4"/>
      <c r="N29" s="4"/>
      <c r="O29" s="4"/>
      <c r="P29" s="4"/>
      <c r="Q29" s="4"/>
      <c r="R29" s="4"/>
      <c r="S29" s="4"/>
      <c r="T29" s="4"/>
      <c r="U29" s="4"/>
      <c r="V29" s="4"/>
      <c r="W29" s="4"/>
      <c r="X29" s="4"/>
      <c r="Y29" s="4"/>
      <c r="Z29" s="4"/>
    </row>
    <row r="30" ht="19.5" customHeight="1">
      <c r="A30" s="15">
        <v>28.0</v>
      </c>
      <c r="B30" s="16">
        <v>405124.0</v>
      </c>
      <c r="C30" s="17">
        <v>231500.0</v>
      </c>
      <c r="D30" s="18">
        <f t="array" ref="D30">B30-C30</f>
        <v>173624</v>
      </c>
      <c r="E30" s="17">
        <v>0.0</v>
      </c>
      <c r="F30" s="19">
        <f t="array" ref="F30">B30-C30-E30</f>
        <v>173624</v>
      </c>
      <c r="G30" s="4"/>
      <c r="H30" s="4"/>
      <c r="I30" s="4"/>
      <c r="J30" s="4"/>
      <c r="K30" s="4"/>
      <c r="L30" s="4"/>
      <c r="M30" s="4"/>
      <c r="N30" s="4"/>
      <c r="O30" s="4"/>
      <c r="P30" s="4"/>
      <c r="Q30" s="4"/>
      <c r="R30" s="4"/>
      <c r="S30" s="4"/>
      <c r="T30" s="4"/>
      <c r="U30" s="4"/>
      <c r="V30" s="4"/>
      <c r="W30" s="4"/>
      <c r="X30" s="4"/>
      <c r="Y30" s="4"/>
      <c r="Z30" s="4"/>
    </row>
    <row r="31" ht="19.5" customHeight="1">
      <c r="A31" s="15">
        <v>29.0</v>
      </c>
      <c r="B31" s="16">
        <v>157500.0</v>
      </c>
      <c r="C31" s="17">
        <v>90000.0</v>
      </c>
      <c r="D31" s="18">
        <f t="array" ref="D31">B31-C31</f>
        <v>67500</v>
      </c>
      <c r="E31" s="20">
        <v>72000.0</v>
      </c>
      <c r="F31" s="19">
        <f t="array" ref="F31">B31-C31-E31</f>
        <v>-4500</v>
      </c>
      <c r="G31" s="4"/>
      <c r="H31" s="4"/>
      <c r="I31" s="4"/>
      <c r="J31" s="4"/>
      <c r="K31" s="4"/>
      <c r="L31" s="4"/>
      <c r="M31" s="4"/>
      <c r="N31" s="4"/>
      <c r="O31" s="4"/>
      <c r="P31" s="4"/>
      <c r="Q31" s="4"/>
      <c r="R31" s="4"/>
      <c r="S31" s="4"/>
      <c r="T31" s="4"/>
      <c r="U31" s="4"/>
      <c r="V31" s="4"/>
      <c r="W31" s="4"/>
      <c r="X31" s="4"/>
      <c r="Y31" s="4"/>
      <c r="Z31" s="4"/>
    </row>
    <row r="32" ht="19.5" customHeight="1">
      <c r="A32" s="15">
        <v>30.0</v>
      </c>
      <c r="B32" s="16">
        <v>0.0</v>
      </c>
      <c r="C32" s="17">
        <v>0.0</v>
      </c>
      <c r="D32" s="18">
        <f t="array" ref="D32">B32-C32</f>
        <v>0</v>
      </c>
      <c r="E32" s="20">
        <v>15000.0</v>
      </c>
      <c r="F32" s="19">
        <f t="array" ref="F32">B32-C32-E32</f>
        <v>-15000</v>
      </c>
      <c r="G32" s="4"/>
      <c r="H32" s="4"/>
      <c r="I32" s="4"/>
      <c r="J32" s="4"/>
      <c r="K32" s="4"/>
      <c r="L32" s="4"/>
      <c r="M32" s="4"/>
      <c r="N32" s="4"/>
      <c r="O32" s="4"/>
      <c r="P32" s="4"/>
      <c r="Q32" s="4"/>
      <c r="R32" s="4"/>
      <c r="S32" s="4"/>
      <c r="T32" s="4"/>
      <c r="U32" s="4"/>
      <c r="V32" s="4"/>
      <c r="W32" s="4"/>
      <c r="X32" s="4"/>
      <c r="Y32" s="4"/>
      <c r="Z32" s="4"/>
    </row>
    <row r="33" ht="19.5" customHeight="1">
      <c r="A33" s="15">
        <v>31.0</v>
      </c>
      <c r="B33" s="16">
        <v>157500.0</v>
      </c>
      <c r="C33" s="17">
        <v>90000.0</v>
      </c>
      <c r="D33" s="18">
        <f t="array" ref="D33">B33-C33</f>
        <v>67500</v>
      </c>
      <c r="E33" s="20">
        <v>15000.0</v>
      </c>
      <c r="F33" s="19">
        <f t="array" ref="F33">B33-C33-E33</f>
        <v>52500</v>
      </c>
      <c r="G33" s="4"/>
      <c r="H33" s="4"/>
      <c r="I33" s="4"/>
      <c r="J33" s="4"/>
      <c r="K33" s="4"/>
      <c r="L33" s="4"/>
      <c r="M33" s="4"/>
      <c r="N33" s="4"/>
      <c r="O33" s="4"/>
      <c r="P33" s="4"/>
      <c r="Q33" s="4"/>
      <c r="R33" s="4"/>
      <c r="S33" s="4"/>
      <c r="T33" s="4"/>
      <c r="U33" s="4"/>
      <c r="V33" s="4"/>
      <c r="W33" s="4"/>
      <c r="X33" s="4"/>
      <c r="Y33" s="4"/>
      <c r="Z33" s="4"/>
    </row>
    <row r="34" ht="25.5" customHeight="1">
      <c r="A34" s="25" t="s">
        <v>29</v>
      </c>
      <c r="B34" s="26">
        <f t="array" ref="B34">SUM(B3:B33)</f>
        <v>3199274</v>
      </c>
      <c r="C34" s="27">
        <f t="array" ref="C34">SUM(C3:C33)</f>
        <v>1875441</v>
      </c>
      <c r="D34" s="28">
        <f t="array" ref="D34">SUM(D3:D33)</f>
        <v>1323833</v>
      </c>
      <c r="E34" s="27">
        <f t="array" ref="E34">SUM(E3:E33)</f>
        <v>777200</v>
      </c>
      <c r="F34" s="29">
        <f t="array" ref="F34">SUM(F3:F33)</f>
        <v>546633</v>
      </c>
      <c r="G34" s="4"/>
      <c r="H34" s="4"/>
      <c r="I34" s="4"/>
      <c r="J34" s="4"/>
      <c r="K34" s="4"/>
      <c r="L34" s="4"/>
      <c r="M34" s="4"/>
      <c r="N34" s="4"/>
      <c r="O34" s="4"/>
      <c r="P34" s="4"/>
      <c r="Q34" s="4"/>
      <c r="R34" s="4"/>
      <c r="S34" s="4"/>
      <c r="T34" s="4"/>
      <c r="U34" s="4"/>
      <c r="V34" s="4"/>
      <c r="W34" s="4"/>
      <c r="X34" s="4"/>
      <c r="Y34" s="4"/>
      <c r="Z34" s="4"/>
    </row>
    <row r="35" ht="19.5" customHeight="1">
      <c r="A35" s="15"/>
      <c r="B35" s="30"/>
      <c r="C35" s="31" t="s">
        <v>30</v>
      </c>
      <c r="D35" s="17"/>
      <c r="E35" s="17"/>
      <c r="F35" s="17"/>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F1"/>
  </mergeCells>
  <printOptions/>
  <pageMargins bottom="1.0" footer="0.0" header="0.0" left="1.0" right="1.0" top="1.0"/>
  <pageSetup orientation="portrait"/>
  <headerFooter>
    <oddFooter>&amp;C000000&amp;P</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6.29"/>
    <col customWidth="1" min="2" max="2" width="19.29"/>
    <col customWidth="1" min="3" max="3" width="18.71"/>
    <col customWidth="1" min="4" max="4" width="20.0"/>
    <col customWidth="1" min="5" max="5" width="18.14"/>
    <col customWidth="1" min="6" max="6" width="17.14"/>
    <col customWidth="1" min="7" max="26" width="16.29"/>
  </cols>
  <sheetData>
    <row r="1" ht="27.0" customHeight="1">
      <c r="A1" s="2" t="s">
        <v>1</v>
      </c>
      <c r="G1" s="4"/>
      <c r="H1" s="4"/>
      <c r="I1" s="4"/>
      <c r="J1" s="4"/>
      <c r="K1" s="4"/>
      <c r="L1" s="4"/>
      <c r="M1" s="4"/>
      <c r="N1" s="4"/>
      <c r="O1" s="4"/>
      <c r="P1" s="4"/>
      <c r="Q1" s="4"/>
      <c r="R1" s="4"/>
      <c r="S1" s="4"/>
      <c r="T1" s="4"/>
      <c r="U1" s="4"/>
      <c r="V1" s="4"/>
      <c r="W1" s="4"/>
      <c r="X1" s="4"/>
      <c r="Y1" s="4"/>
      <c r="Z1" s="4"/>
    </row>
    <row r="2" ht="37.5" customHeight="1">
      <c r="A2" s="7">
        <v>46054.0</v>
      </c>
      <c r="B2" s="8" t="s">
        <v>7</v>
      </c>
      <c r="C2" s="8" t="s">
        <v>8</v>
      </c>
      <c r="D2" s="8" t="s">
        <v>9</v>
      </c>
      <c r="E2" s="8" t="s">
        <v>10</v>
      </c>
      <c r="F2" s="8" t="s">
        <v>11</v>
      </c>
      <c r="G2" s="4"/>
      <c r="H2" s="4"/>
      <c r="I2" s="4"/>
      <c r="J2" s="4"/>
      <c r="K2" s="4"/>
      <c r="L2" s="4"/>
      <c r="M2" s="4"/>
      <c r="N2" s="4"/>
      <c r="O2" s="4"/>
      <c r="P2" s="4"/>
      <c r="Q2" s="4"/>
      <c r="R2" s="4"/>
      <c r="S2" s="4"/>
      <c r="T2" s="4"/>
      <c r="U2" s="4"/>
      <c r="V2" s="4"/>
      <c r="W2" s="4"/>
      <c r="X2" s="4"/>
      <c r="Y2" s="4"/>
      <c r="Z2" s="4"/>
    </row>
    <row r="3" ht="19.5" customHeight="1">
      <c r="A3" s="10">
        <v>1.0</v>
      </c>
      <c r="B3" s="11">
        <v>0.0</v>
      </c>
      <c r="C3" s="12">
        <v>0.0</v>
      </c>
      <c r="D3" s="13">
        <f t="array" ref="D3">B3-C3</f>
        <v>0</v>
      </c>
      <c r="E3" s="12">
        <v>0.0</v>
      </c>
      <c r="F3" s="14">
        <f t="array" ref="F3">B3-C3-E3</f>
        <v>0</v>
      </c>
      <c r="G3" s="4"/>
      <c r="H3" s="4"/>
      <c r="I3" s="4"/>
      <c r="J3" s="4"/>
      <c r="K3" s="4"/>
      <c r="L3" s="4"/>
      <c r="M3" s="4"/>
      <c r="N3" s="4"/>
      <c r="O3" s="4"/>
      <c r="P3" s="4"/>
      <c r="Q3" s="4"/>
      <c r="R3" s="4"/>
      <c r="S3" s="4"/>
      <c r="T3" s="4"/>
      <c r="U3" s="4"/>
      <c r="V3" s="4"/>
      <c r="W3" s="4"/>
      <c r="X3" s="4"/>
      <c r="Y3" s="4"/>
      <c r="Z3" s="4"/>
    </row>
    <row r="4" ht="19.5" customHeight="1">
      <c r="A4" s="15">
        <v>2.0</v>
      </c>
      <c r="B4" s="16">
        <v>0.0</v>
      </c>
      <c r="C4" s="17">
        <v>0.0</v>
      </c>
      <c r="D4" s="18">
        <f t="array" ref="D4">B4-C4</f>
        <v>0</v>
      </c>
      <c r="E4" s="17">
        <v>0.0</v>
      </c>
      <c r="F4" s="19">
        <f t="array" ref="F4">B4-C4-E4</f>
        <v>0</v>
      </c>
      <c r="G4" s="4"/>
      <c r="H4" s="4"/>
      <c r="I4" s="4"/>
      <c r="J4" s="4"/>
      <c r="K4" s="4"/>
      <c r="L4" s="4"/>
      <c r="M4" s="4"/>
      <c r="N4" s="4"/>
      <c r="O4" s="4"/>
      <c r="P4" s="4"/>
      <c r="Q4" s="4"/>
      <c r="R4" s="4"/>
      <c r="S4" s="4"/>
      <c r="T4" s="4"/>
      <c r="U4" s="4"/>
      <c r="V4" s="4"/>
      <c r="W4" s="4"/>
      <c r="X4" s="4"/>
      <c r="Y4" s="4"/>
      <c r="Z4" s="4"/>
    </row>
    <row r="5" ht="19.5" customHeight="1">
      <c r="A5" s="15">
        <v>3.0</v>
      </c>
      <c r="B5" s="16">
        <v>0.0</v>
      </c>
      <c r="C5" s="17">
        <v>0.0</v>
      </c>
      <c r="D5" s="18">
        <f t="array" ref="D5">B5-C5</f>
        <v>0</v>
      </c>
      <c r="E5" s="17">
        <v>0.0</v>
      </c>
      <c r="F5" s="19">
        <f t="array" ref="F5">B5-C5-E5</f>
        <v>0</v>
      </c>
      <c r="G5" s="4"/>
      <c r="H5" s="4"/>
      <c r="I5" s="4"/>
      <c r="J5" s="4"/>
      <c r="K5" s="4"/>
      <c r="L5" s="4"/>
      <c r="M5" s="4"/>
      <c r="N5" s="4"/>
      <c r="O5" s="4"/>
      <c r="P5" s="4"/>
      <c r="Q5" s="4"/>
      <c r="R5" s="4"/>
      <c r="S5" s="4"/>
      <c r="T5" s="4"/>
      <c r="U5" s="4"/>
      <c r="V5" s="4"/>
      <c r="W5" s="4"/>
      <c r="X5" s="4"/>
      <c r="Y5" s="4"/>
      <c r="Z5" s="4"/>
    </row>
    <row r="6" ht="19.5" customHeight="1">
      <c r="A6" s="15">
        <v>4.0</v>
      </c>
      <c r="B6" s="16">
        <v>0.0</v>
      </c>
      <c r="C6" s="17">
        <v>0.0</v>
      </c>
      <c r="D6" s="18">
        <f t="array" ref="D6">B6-C6</f>
        <v>0</v>
      </c>
      <c r="E6" s="17">
        <v>0.0</v>
      </c>
      <c r="F6" s="19">
        <f t="array" ref="F6">B6-C6-E6</f>
        <v>0</v>
      </c>
      <c r="G6" s="4"/>
      <c r="H6" s="4"/>
      <c r="I6" s="4"/>
      <c r="J6" s="4"/>
      <c r="K6" s="4"/>
      <c r="L6" s="4"/>
      <c r="M6" s="4"/>
      <c r="N6" s="4"/>
      <c r="O6" s="4"/>
      <c r="P6" s="4"/>
      <c r="Q6" s="4"/>
      <c r="R6" s="4"/>
      <c r="S6" s="4"/>
      <c r="T6" s="4"/>
      <c r="U6" s="4"/>
      <c r="V6" s="4"/>
      <c r="W6" s="4"/>
      <c r="X6" s="4"/>
      <c r="Y6" s="4"/>
      <c r="Z6" s="4"/>
    </row>
    <row r="7" ht="19.5" customHeight="1">
      <c r="A7" s="15">
        <v>5.0</v>
      </c>
      <c r="B7" s="16">
        <v>332500.0</v>
      </c>
      <c r="C7" s="17">
        <v>190000.0</v>
      </c>
      <c r="D7" s="18">
        <f t="array" ref="D7">B7-C7</f>
        <v>142500</v>
      </c>
      <c r="E7" s="17">
        <v>70000.0</v>
      </c>
      <c r="F7" s="19">
        <f t="array" ref="F7">B7-C7-E7</f>
        <v>72500</v>
      </c>
      <c r="G7" s="4"/>
      <c r="H7" s="4"/>
      <c r="I7" s="4"/>
      <c r="J7" s="4"/>
      <c r="K7" s="4"/>
      <c r="L7" s="4"/>
      <c r="M7" s="4"/>
      <c r="N7" s="4"/>
      <c r="O7" s="4"/>
      <c r="P7" s="4"/>
      <c r="Q7" s="4"/>
      <c r="R7" s="4"/>
      <c r="S7" s="4"/>
      <c r="T7" s="4"/>
      <c r="U7" s="4"/>
      <c r="V7" s="4"/>
      <c r="W7" s="4"/>
      <c r="X7" s="4"/>
      <c r="Y7" s="4"/>
      <c r="Z7" s="4"/>
    </row>
    <row r="8" ht="19.5" customHeight="1">
      <c r="A8" s="15">
        <v>6.0</v>
      </c>
      <c r="B8" s="16">
        <v>421000.0</v>
      </c>
      <c r="C8" s="17">
        <v>232000.0</v>
      </c>
      <c r="D8" s="18">
        <f t="array" ref="D8">B8-C8</f>
        <v>189000</v>
      </c>
      <c r="E8" s="17">
        <v>64250.0</v>
      </c>
      <c r="F8" s="19">
        <f t="array" ref="F8">B8-C8-E8</f>
        <v>124750</v>
      </c>
      <c r="G8" s="4"/>
      <c r="H8" s="4"/>
      <c r="I8" s="4"/>
      <c r="J8" s="4"/>
      <c r="K8" s="4"/>
      <c r="L8" s="4"/>
      <c r="M8" s="4"/>
      <c r="N8" s="4"/>
      <c r="O8" s="4"/>
      <c r="P8" s="4"/>
      <c r="Q8" s="4"/>
      <c r="R8" s="4"/>
      <c r="S8" s="4"/>
      <c r="T8" s="4"/>
      <c r="U8" s="4"/>
      <c r="V8" s="4"/>
      <c r="W8" s="4"/>
      <c r="X8" s="4"/>
      <c r="Y8" s="4"/>
      <c r="Z8" s="4"/>
    </row>
    <row r="9" ht="19.5" customHeight="1">
      <c r="A9" s="15">
        <v>7.0</v>
      </c>
      <c r="B9" s="16">
        <v>96250.0</v>
      </c>
      <c r="C9" s="17">
        <v>55000.0</v>
      </c>
      <c r="D9" s="18">
        <f t="array" ref="D9">B9-C9</f>
        <v>41250</v>
      </c>
      <c r="E9" s="17">
        <v>1300000.0</v>
      </c>
      <c r="F9" s="19">
        <f t="array" ref="F9">B9-C9-E9</f>
        <v>-1258750</v>
      </c>
      <c r="G9" s="4"/>
      <c r="H9" s="4"/>
      <c r="I9" s="4"/>
      <c r="J9" s="4"/>
      <c r="K9" s="4"/>
      <c r="L9" s="4"/>
      <c r="M9" s="4"/>
      <c r="N9" s="4"/>
      <c r="O9" s="4"/>
      <c r="P9" s="4"/>
      <c r="Q9" s="4"/>
      <c r="R9" s="4"/>
      <c r="S9" s="4"/>
      <c r="T9" s="4"/>
      <c r="U9" s="4"/>
      <c r="V9" s="4"/>
      <c r="W9" s="4"/>
      <c r="X9" s="4"/>
      <c r="Y9" s="4"/>
      <c r="Z9" s="4"/>
    </row>
    <row r="10" ht="19.5" customHeight="1">
      <c r="A10" s="15">
        <v>8.0</v>
      </c>
      <c r="B10" s="16">
        <v>0.0</v>
      </c>
      <c r="C10" s="17">
        <v>0.0</v>
      </c>
      <c r="D10" s="18">
        <f t="array" ref="D10">B10-C10</f>
        <v>0</v>
      </c>
      <c r="E10" s="17">
        <v>46000.0</v>
      </c>
      <c r="F10" s="19">
        <f t="array" ref="F10">B10-C10-E10</f>
        <v>-46000</v>
      </c>
      <c r="G10" s="4"/>
      <c r="H10" s="4"/>
      <c r="I10" s="4"/>
      <c r="J10" s="4"/>
      <c r="K10" s="4"/>
      <c r="L10" s="4"/>
      <c r="M10" s="4"/>
      <c r="N10" s="4"/>
      <c r="O10" s="4"/>
      <c r="P10" s="4"/>
      <c r="Q10" s="4"/>
      <c r="R10" s="4"/>
      <c r="S10" s="4"/>
      <c r="T10" s="4"/>
      <c r="U10" s="4"/>
      <c r="V10" s="4"/>
      <c r="W10" s="4"/>
      <c r="X10" s="4"/>
      <c r="Y10" s="4"/>
      <c r="Z10" s="4"/>
    </row>
    <row r="11" ht="19.5" customHeight="1">
      <c r="A11" s="15">
        <v>9.0</v>
      </c>
      <c r="B11" s="16">
        <v>0.0</v>
      </c>
      <c r="C11" s="17">
        <v>0.0</v>
      </c>
      <c r="D11" s="18">
        <f t="array" ref="D11">B11-C11</f>
        <v>0</v>
      </c>
      <c r="E11" s="17">
        <v>120000.0</v>
      </c>
      <c r="F11" s="19">
        <f t="array" ref="F11">B11-C11-E11</f>
        <v>-120000</v>
      </c>
      <c r="G11" s="4"/>
      <c r="H11" s="4"/>
      <c r="I11" s="4"/>
      <c r="J11" s="4"/>
      <c r="K11" s="4"/>
      <c r="L11" s="4"/>
      <c r="M11" s="4"/>
      <c r="N11" s="4"/>
      <c r="O11" s="4"/>
      <c r="P11" s="4"/>
      <c r="Q11" s="4"/>
      <c r="R11" s="4"/>
      <c r="S11" s="4"/>
      <c r="T11" s="4"/>
      <c r="U11" s="4"/>
      <c r="V11" s="4"/>
      <c r="W11" s="4"/>
      <c r="X11" s="4"/>
      <c r="Y11" s="4"/>
      <c r="Z11" s="4"/>
    </row>
    <row r="12" ht="19.5" customHeight="1">
      <c r="A12" s="15">
        <v>10.0</v>
      </c>
      <c r="B12" s="16">
        <v>0.0</v>
      </c>
      <c r="C12" s="17">
        <v>0.0</v>
      </c>
      <c r="D12" s="18">
        <f t="array" ref="D12">B12-C12</f>
        <v>0</v>
      </c>
      <c r="E12" s="17">
        <v>0.0</v>
      </c>
      <c r="F12" s="19">
        <f t="array" ref="F12">B12-C12-E12</f>
        <v>0</v>
      </c>
      <c r="G12" s="4"/>
      <c r="H12" s="4"/>
      <c r="I12" s="4"/>
      <c r="J12" s="4"/>
      <c r="K12" s="4"/>
      <c r="L12" s="4"/>
      <c r="M12" s="4"/>
      <c r="N12" s="4"/>
      <c r="O12" s="4"/>
      <c r="P12" s="4"/>
      <c r="Q12" s="4"/>
      <c r="R12" s="4"/>
      <c r="S12" s="4"/>
      <c r="T12" s="4"/>
      <c r="U12" s="4"/>
      <c r="V12" s="4"/>
      <c r="W12" s="4"/>
      <c r="X12" s="4"/>
      <c r="Y12" s="4"/>
      <c r="Z12" s="4"/>
    </row>
    <row r="13" ht="19.5" customHeight="1">
      <c r="A13" s="15">
        <v>11.0</v>
      </c>
      <c r="B13" s="16">
        <v>0.0</v>
      </c>
      <c r="C13" s="17">
        <v>0.0</v>
      </c>
      <c r="D13" s="18">
        <f t="array" ref="D13">B13-C13</f>
        <v>0</v>
      </c>
      <c r="E13" s="17">
        <v>70000.0</v>
      </c>
      <c r="F13" s="19">
        <f t="array" ref="F13">B13-C13-E13</f>
        <v>-70000</v>
      </c>
      <c r="G13" s="4"/>
      <c r="H13" s="4"/>
      <c r="I13" s="4"/>
      <c r="J13" s="4"/>
      <c r="K13" s="4"/>
      <c r="L13" s="4"/>
      <c r="M13" s="4"/>
      <c r="N13" s="4"/>
      <c r="O13" s="4"/>
      <c r="P13" s="4"/>
      <c r="Q13" s="4"/>
      <c r="R13" s="4"/>
      <c r="S13" s="4"/>
      <c r="T13" s="4"/>
      <c r="U13" s="4"/>
      <c r="V13" s="4"/>
      <c r="W13" s="4"/>
      <c r="X13" s="4"/>
      <c r="Y13" s="4"/>
      <c r="Z13" s="4"/>
    </row>
    <row r="14" ht="19.5" customHeight="1">
      <c r="A14" s="15">
        <v>12.0</v>
      </c>
      <c r="B14" s="16">
        <v>0.0</v>
      </c>
      <c r="C14" s="17">
        <v>0.0</v>
      </c>
      <c r="D14" s="18">
        <f t="array" ref="D14">B14-C14</f>
        <v>0</v>
      </c>
      <c r="E14" s="17">
        <v>0.0</v>
      </c>
      <c r="F14" s="19">
        <f t="array" ref="F14">B14-C14-E14</f>
        <v>0</v>
      </c>
      <c r="G14" s="4"/>
      <c r="H14" s="4"/>
      <c r="I14" s="4"/>
      <c r="J14" s="4"/>
      <c r="K14" s="4"/>
      <c r="L14" s="4"/>
      <c r="M14" s="4"/>
      <c r="N14" s="4"/>
      <c r="O14" s="4"/>
      <c r="P14" s="4"/>
      <c r="Q14" s="4"/>
      <c r="R14" s="4"/>
      <c r="S14" s="4"/>
      <c r="T14" s="4"/>
      <c r="U14" s="4"/>
      <c r="V14" s="4"/>
      <c r="W14" s="4"/>
      <c r="X14" s="4"/>
      <c r="Y14" s="4"/>
      <c r="Z14" s="4"/>
    </row>
    <row r="15" ht="19.5" customHeight="1">
      <c r="A15" s="15">
        <v>13.0</v>
      </c>
      <c r="B15" s="16">
        <v>339500.0</v>
      </c>
      <c r="C15" s="17">
        <v>205000.0</v>
      </c>
      <c r="D15" s="18">
        <f t="array" ref="D15">B15-C15</f>
        <v>134500</v>
      </c>
      <c r="E15" s="20">
        <v>70000.0</v>
      </c>
      <c r="F15" s="19">
        <f t="array" ref="F15">B15-C15-E15</f>
        <v>64500</v>
      </c>
      <c r="G15" s="22" t="s">
        <v>27</v>
      </c>
      <c r="H15" s="4"/>
      <c r="I15" s="4"/>
      <c r="J15" s="4"/>
      <c r="K15" s="4"/>
      <c r="L15" s="4"/>
      <c r="M15" s="4"/>
      <c r="N15" s="4"/>
      <c r="O15" s="4"/>
      <c r="P15" s="4"/>
      <c r="Q15" s="4"/>
      <c r="R15" s="4"/>
      <c r="S15" s="4"/>
      <c r="T15" s="4"/>
      <c r="U15" s="4"/>
      <c r="V15" s="4"/>
      <c r="W15" s="4"/>
      <c r="X15" s="4"/>
      <c r="Y15" s="4"/>
      <c r="Z15" s="4"/>
    </row>
    <row r="16" ht="19.5" customHeight="1">
      <c r="A16" s="15">
        <v>14.0</v>
      </c>
      <c r="B16" s="16">
        <v>1554275.0</v>
      </c>
      <c r="C16" s="17">
        <v>887300.0</v>
      </c>
      <c r="D16" s="18">
        <f t="array" ref="D16">B16-C16</f>
        <v>666975</v>
      </c>
      <c r="E16" s="20">
        <v>80000.0</v>
      </c>
      <c r="F16" s="19">
        <f t="array" ref="F16">B16-C16-E16</f>
        <v>586975</v>
      </c>
      <c r="G16" s="22" t="s">
        <v>28</v>
      </c>
      <c r="H16" s="4"/>
      <c r="I16" s="4"/>
      <c r="J16" s="4"/>
      <c r="K16" s="4"/>
      <c r="L16" s="4"/>
      <c r="M16" s="4"/>
      <c r="N16" s="4"/>
      <c r="O16" s="4"/>
      <c r="P16" s="4"/>
      <c r="Q16" s="4"/>
      <c r="R16" s="4"/>
      <c r="S16" s="4"/>
      <c r="T16" s="4"/>
      <c r="U16" s="4"/>
      <c r="V16" s="4"/>
      <c r="W16" s="4"/>
      <c r="X16" s="4"/>
      <c r="Y16" s="4"/>
      <c r="Z16" s="4"/>
    </row>
    <row r="17" ht="19.5" customHeight="1">
      <c r="A17" s="15">
        <v>15.0</v>
      </c>
      <c r="B17" s="16">
        <v>1291500.0</v>
      </c>
      <c r="C17" s="17">
        <v>738000.0</v>
      </c>
      <c r="D17" s="18">
        <f t="array" ref="D17">B17-C17</f>
        <v>553500</v>
      </c>
      <c r="E17" s="20">
        <v>80000.0</v>
      </c>
      <c r="F17" s="19">
        <f t="array" ref="F17">B17-C17-E17</f>
        <v>473500</v>
      </c>
      <c r="G17" s="4"/>
      <c r="H17" s="4"/>
      <c r="I17" s="4"/>
      <c r="J17" s="4"/>
      <c r="K17" s="4"/>
      <c r="L17" s="4"/>
      <c r="M17" s="4"/>
      <c r="N17" s="4"/>
      <c r="O17" s="4"/>
      <c r="P17" s="4"/>
      <c r="Q17" s="4"/>
      <c r="R17" s="4"/>
      <c r="S17" s="4"/>
      <c r="T17" s="4"/>
      <c r="U17" s="4"/>
      <c r="V17" s="4"/>
      <c r="W17" s="4"/>
      <c r="X17" s="4"/>
      <c r="Y17" s="4"/>
      <c r="Z17" s="4"/>
    </row>
    <row r="18" ht="19.5" customHeight="1">
      <c r="A18" s="15">
        <v>16.0</v>
      </c>
      <c r="B18" s="16">
        <v>490000.0</v>
      </c>
      <c r="C18" s="17">
        <v>280000.0</v>
      </c>
      <c r="D18" s="18">
        <f t="array" ref="D18">B18-C18</f>
        <v>210000</v>
      </c>
      <c r="E18" s="17">
        <v>0.0</v>
      </c>
      <c r="F18" s="19">
        <f t="array" ref="F18">B18-C18-E18</f>
        <v>210000</v>
      </c>
      <c r="G18" s="4"/>
      <c r="H18" s="4"/>
      <c r="I18" s="4"/>
      <c r="J18" s="4"/>
      <c r="K18" s="4"/>
      <c r="L18" s="4"/>
      <c r="M18" s="4"/>
      <c r="N18" s="4"/>
      <c r="O18" s="4"/>
      <c r="P18" s="4"/>
      <c r="Q18" s="4"/>
      <c r="R18" s="4"/>
      <c r="S18" s="4"/>
      <c r="T18" s="4"/>
      <c r="U18" s="4"/>
      <c r="V18" s="4"/>
      <c r="W18" s="4"/>
      <c r="X18" s="4"/>
      <c r="Y18" s="4"/>
      <c r="Z18" s="4"/>
    </row>
    <row r="19" ht="19.5" customHeight="1">
      <c r="A19" s="15">
        <v>17.0</v>
      </c>
      <c r="B19" s="16">
        <v>642250.0</v>
      </c>
      <c r="C19" s="17">
        <v>367000.0</v>
      </c>
      <c r="D19" s="18">
        <f t="array" ref="D19">B19-C19</f>
        <v>275250</v>
      </c>
      <c r="E19" s="17">
        <v>80000.0</v>
      </c>
      <c r="F19" s="19">
        <f t="array" ref="F19">B19-C19-E19</f>
        <v>195250</v>
      </c>
      <c r="G19" s="4"/>
      <c r="H19" s="4"/>
      <c r="I19" s="4"/>
      <c r="J19" s="4"/>
      <c r="K19" s="4"/>
      <c r="L19" s="4"/>
      <c r="M19" s="4"/>
      <c r="N19" s="4"/>
      <c r="O19" s="4"/>
      <c r="P19" s="4"/>
      <c r="Q19" s="4"/>
      <c r="R19" s="4"/>
      <c r="S19" s="4"/>
      <c r="T19" s="4"/>
      <c r="U19" s="4"/>
      <c r="V19" s="4"/>
      <c r="W19" s="4"/>
      <c r="X19" s="4"/>
      <c r="Y19" s="4"/>
      <c r="Z19" s="4"/>
    </row>
    <row r="20" ht="19.5" customHeight="1">
      <c r="A20" s="15">
        <v>18.0</v>
      </c>
      <c r="B20" s="16">
        <v>1509375.0</v>
      </c>
      <c r="C20" s="17">
        <v>870000.0</v>
      </c>
      <c r="D20" s="18">
        <f t="array" ref="D20">B20-C20</f>
        <v>639375</v>
      </c>
      <c r="E20" s="20">
        <v>80000.0</v>
      </c>
      <c r="F20" s="19">
        <f t="array" ref="F20">B20-C20-E20</f>
        <v>559375</v>
      </c>
      <c r="G20" s="4"/>
      <c r="H20" s="4"/>
      <c r="I20" s="4"/>
      <c r="J20" s="4"/>
      <c r="K20" s="4"/>
      <c r="L20" s="4"/>
      <c r="M20" s="4"/>
      <c r="N20" s="4"/>
      <c r="O20" s="4"/>
      <c r="P20" s="4"/>
      <c r="Q20" s="4"/>
      <c r="R20" s="4"/>
      <c r="S20" s="4"/>
      <c r="T20" s="4"/>
      <c r="U20" s="4"/>
      <c r="V20" s="4"/>
      <c r="W20" s="4"/>
      <c r="X20" s="4"/>
      <c r="Y20" s="4"/>
      <c r="Z20" s="4"/>
    </row>
    <row r="21" ht="19.5" customHeight="1">
      <c r="A21" s="15">
        <v>19.0</v>
      </c>
      <c r="B21" s="16">
        <v>805000.0</v>
      </c>
      <c r="C21" s="17">
        <v>460000.0</v>
      </c>
      <c r="D21" s="18">
        <f t="array" ref="D21">B21-C21</f>
        <v>345000</v>
      </c>
      <c r="E21" s="17">
        <v>120000.0</v>
      </c>
      <c r="F21" s="19">
        <f t="array" ref="F21">B21-C21-E21</f>
        <v>225000</v>
      </c>
      <c r="G21" s="4"/>
      <c r="H21" s="4"/>
      <c r="I21" s="4"/>
      <c r="J21" s="4"/>
      <c r="K21" s="4"/>
      <c r="L21" s="4"/>
      <c r="M21" s="4"/>
      <c r="N21" s="4"/>
      <c r="O21" s="4"/>
      <c r="P21" s="4"/>
      <c r="Q21" s="4"/>
      <c r="R21" s="4"/>
      <c r="S21" s="4"/>
      <c r="T21" s="4"/>
      <c r="U21" s="4"/>
      <c r="V21" s="4"/>
      <c r="W21" s="4"/>
      <c r="X21" s="4"/>
      <c r="Y21" s="4"/>
      <c r="Z21" s="4"/>
    </row>
    <row r="22" ht="19.5" customHeight="1">
      <c r="A22" s="15">
        <v>20.0</v>
      </c>
      <c r="B22" s="16">
        <v>159750.0</v>
      </c>
      <c r="C22" s="17">
        <v>86500.0</v>
      </c>
      <c r="D22" s="18">
        <f t="array" ref="D22">B22-C22</f>
        <v>73250</v>
      </c>
      <c r="E22" s="20">
        <v>80000.0</v>
      </c>
      <c r="F22" s="19">
        <f t="array" ref="F22">B22-C22-E22</f>
        <v>-6750</v>
      </c>
      <c r="G22" s="4"/>
      <c r="H22" s="4"/>
      <c r="I22" s="4"/>
      <c r="J22" s="4"/>
      <c r="K22" s="4"/>
      <c r="L22" s="4"/>
      <c r="M22" s="4"/>
      <c r="N22" s="4"/>
      <c r="O22" s="4"/>
      <c r="P22" s="4"/>
      <c r="Q22" s="4"/>
      <c r="R22" s="4"/>
      <c r="S22" s="4"/>
      <c r="T22" s="4"/>
      <c r="U22" s="4"/>
      <c r="V22" s="4"/>
      <c r="W22" s="4"/>
      <c r="X22" s="4"/>
      <c r="Y22" s="4"/>
      <c r="Z22" s="4"/>
    </row>
    <row r="23" ht="19.5" customHeight="1">
      <c r="A23" s="15">
        <v>21.0</v>
      </c>
      <c r="B23" s="16">
        <v>1964400.0</v>
      </c>
      <c r="C23" s="17">
        <v>1181235.0</v>
      </c>
      <c r="D23" s="18">
        <f t="array" ref="D23">B23-C23</f>
        <v>783165</v>
      </c>
      <c r="E23" s="20">
        <v>95000.0</v>
      </c>
      <c r="F23" s="19">
        <f t="array" ref="F23">B23-C23-E23</f>
        <v>688165</v>
      </c>
      <c r="G23" s="4"/>
      <c r="H23" s="4"/>
      <c r="I23" s="4"/>
      <c r="J23" s="4"/>
      <c r="K23" s="4"/>
      <c r="L23" s="4"/>
      <c r="M23" s="4"/>
      <c r="N23" s="4"/>
      <c r="O23" s="4"/>
      <c r="P23" s="4"/>
      <c r="Q23" s="4"/>
      <c r="R23" s="4"/>
      <c r="S23" s="4"/>
      <c r="T23" s="4"/>
      <c r="U23" s="4"/>
      <c r="V23" s="4"/>
      <c r="W23" s="4"/>
      <c r="X23" s="4"/>
      <c r="Y23" s="4"/>
      <c r="Z23" s="4"/>
    </row>
    <row r="24" ht="19.5" customHeight="1">
      <c r="A24" s="15">
        <v>22.0</v>
      </c>
      <c r="B24" s="16">
        <v>760000.0</v>
      </c>
      <c r="C24" s="17">
        <v>430000.0</v>
      </c>
      <c r="D24" s="18">
        <f t="array" ref="D24">B24-C24</f>
        <v>330000</v>
      </c>
      <c r="E24" s="20">
        <v>80000.0</v>
      </c>
      <c r="F24" s="19">
        <f t="array" ref="F24">B24-C24-E24</f>
        <v>250000</v>
      </c>
      <c r="G24" s="4"/>
      <c r="H24" s="4"/>
      <c r="I24" s="4"/>
      <c r="J24" s="4"/>
      <c r="K24" s="4"/>
      <c r="L24" s="4"/>
      <c r="M24" s="4"/>
      <c r="N24" s="4"/>
      <c r="O24" s="4"/>
      <c r="P24" s="4"/>
      <c r="Q24" s="4"/>
      <c r="R24" s="4"/>
      <c r="S24" s="4"/>
      <c r="T24" s="4"/>
      <c r="U24" s="4"/>
      <c r="V24" s="4"/>
      <c r="W24" s="4"/>
      <c r="X24" s="4"/>
      <c r="Y24" s="4"/>
      <c r="Z24" s="4"/>
    </row>
    <row r="25" ht="19.5" customHeight="1">
      <c r="A25" s="15">
        <v>23.0</v>
      </c>
      <c r="B25" s="16">
        <v>0.0</v>
      </c>
      <c r="C25" s="17">
        <v>0.0</v>
      </c>
      <c r="D25" s="18">
        <f t="array" ref="D25">B25-C25</f>
        <v>0</v>
      </c>
      <c r="E25" s="20">
        <v>170000.0</v>
      </c>
      <c r="F25" s="19">
        <f t="array" ref="F25">B25-C25-E25</f>
        <v>-170000</v>
      </c>
      <c r="G25" s="4"/>
      <c r="H25" s="4"/>
      <c r="I25" s="4"/>
      <c r="J25" s="4"/>
      <c r="K25" s="4"/>
      <c r="L25" s="4"/>
      <c r="M25" s="4"/>
      <c r="N25" s="4"/>
      <c r="O25" s="4"/>
      <c r="P25" s="4"/>
      <c r="Q25" s="4"/>
      <c r="R25" s="4"/>
      <c r="S25" s="4"/>
      <c r="T25" s="4"/>
      <c r="U25" s="4"/>
      <c r="V25" s="4"/>
      <c r="W25" s="4"/>
      <c r="X25" s="4"/>
      <c r="Y25" s="4"/>
      <c r="Z25" s="4"/>
    </row>
    <row r="26" ht="19.5" customHeight="1">
      <c r="A26" s="15">
        <v>24.0</v>
      </c>
      <c r="B26" s="16">
        <v>976750.0</v>
      </c>
      <c r="C26" s="17">
        <v>557941.0</v>
      </c>
      <c r="D26" s="18">
        <f t="array" ref="D26">B26-C26</f>
        <v>418809</v>
      </c>
      <c r="E26" s="20">
        <v>102250.0</v>
      </c>
      <c r="F26" s="19">
        <f t="array" ref="F26">B26-C26-E26</f>
        <v>316559</v>
      </c>
      <c r="G26" s="4"/>
      <c r="H26" s="4"/>
      <c r="I26" s="4"/>
      <c r="J26" s="4"/>
      <c r="K26" s="4"/>
      <c r="L26" s="4"/>
      <c r="M26" s="4"/>
      <c r="N26" s="4"/>
      <c r="O26" s="4"/>
      <c r="P26" s="4"/>
      <c r="Q26" s="4"/>
      <c r="R26" s="4"/>
      <c r="S26" s="4"/>
      <c r="T26" s="4"/>
      <c r="U26" s="4"/>
      <c r="V26" s="4"/>
      <c r="W26" s="4"/>
      <c r="X26" s="4"/>
      <c r="Y26" s="4"/>
      <c r="Z26" s="4"/>
    </row>
    <row r="27" ht="19.5" customHeight="1">
      <c r="A27" s="15">
        <v>25.0</v>
      </c>
      <c r="B27" s="16">
        <v>706937.0</v>
      </c>
      <c r="C27" s="17">
        <v>487250.0</v>
      </c>
      <c r="D27" s="18">
        <f t="array" ref="D27">B27-C27</f>
        <v>219687</v>
      </c>
      <c r="E27" s="20">
        <v>95000.0</v>
      </c>
      <c r="F27" s="19">
        <f t="array" ref="F27">B27-C27-E27</f>
        <v>124687</v>
      </c>
      <c r="G27" s="4"/>
      <c r="H27" s="4"/>
      <c r="I27" s="4"/>
      <c r="J27" s="4"/>
      <c r="K27" s="4"/>
      <c r="L27" s="4"/>
      <c r="M27" s="4"/>
      <c r="N27" s="4"/>
      <c r="O27" s="4"/>
      <c r="P27" s="4"/>
      <c r="Q27" s="4"/>
      <c r="R27" s="4"/>
      <c r="S27" s="4"/>
      <c r="T27" s="4"/>
      <c r="U27" s="4"/>
      <c r="V27" s="4"/>
      <c r="W27" s="4"/>
      <c r="X27" s="4"/>
      <c r="Y27" s="4"/>
      <c r="Z27" s="4"/>
    </row>
    <row r="28" ht="19.5" customHeight="1">
      <c r="A28" s="15">
        <v>26.0</v>
      </c>
      <c r="B28" s="16">
        <v>545000.0</v>
      </c>
      <c r="C28" s="17">
        <v>349000.0</v>
      </c>
      <c r="D28" s="18">
        <f t="array" ref="D28">B28-C28</f>
        <v>196000</v>
      </c>
      <c r="E28" s="17">
        <v>80000.0</v>
      </c>
      <c r="F28" s="19">
        <f t="array" ref="F28">B28-C28-E28</f>
        <v>116000</v>
      </c>
      <c r="G28" s="4"/>
      <c r="H28" s="4"/>
      <c r="I28" s="4"/>
      <c r="J28" s="4"/>
      <c r="K28" s="4"/>
      <c r="L28" s="4"/>
      <c r="M28" s="4"/>
      <c r="N28" s="4"/>
      <c r="O28" s="4"/>
      <c r="P28" s="4"/>
      <c r="Q28" s="4"/>
      <c r="R28" s="4"/>
      <c r="S28" s="4"/>
      <c r="T28" s="4"/>
      <c r="U28" s="4"/>
      <c r="V28" s="4"/>
      <c r="W28" s="4"/>
      <c r="X28" s="4"/>
      <c r="Y28" s="4"/>
      <c r="Z28" s="4"/>
    </row>
    <row r="29" ht="19.5" customHeight="1">
      <c r="A29" s="15">
        <v>27.0</v>
      </c>
      <c r="B29" s="16">
        <v>1774900.0</v>
      </c>
      <c r="C29" s="17">
        <v>1034588.0</v>
      </c>
      <c r="D29" s="18">
        <f t="array" ref="D29">B29-C29</f>
        <v>740312</v>
      </c>
      <c r="E29" s="20">
        <v>105000.0</v>
      </c>
      <c r="F29" s="19">
        <f t="array" ref="F29">B29-C29-E29</f>
        <v>635312</v>
      </c>
      <c r="G29" s="4"/>
      <c r="H29" s="4"/>
      <c r="I29" s="4"/>
      <c r="J29" s="4"/>
      <c r="K29" s="4"/>
      <c r="L29" s="4"/>
      <c r="M29" s="4"/>
      <c r="N29" s="4"/>
      <c r="O29" s="4"/>
      <c r="P29" s="4"/>
      <c r="Q29" s="4"/>
      <c r="R29" s="4"/>
      <c r="S29" s="4"/>
      <c r="T29" s="4"/>
      <c r="U29" s="4"/>
      <c r="V29" s="4"/>
      <c r="W29" s="4"/>
      <c r="X29" s="4"/>
      <c r="Y29" s="4"/>
      <c r="Z29" s="4"/>
    </row>
    <row r="30" ht="19.5" customHeight="1">
      <c r="A30" s="15">
        <v>28.0</v>
      </c>
      <c r="B30" s="16">
        <v>2417750.0</v>
      </c>
      <c r="C30" s="17">
        <v>1515250.0</v>
      </c>
      <c r="D30" s="18">
        <f t="array" ref="D30">B30-C30</f>
        <v>902500</v>
      </c>
      <c r="E30" s="17">
        <v>101000.0</v>
      </c>
      <c r="F30" s="19">
        <f t="array" ref="F30">B30-C30-E30</f>
        <v>801500</v>
      </c>
      <c r="G30" s="4"/>
      <c r="H30" s="4"/>
      <c r="I30" s="4"/>
      <c r="J30" s="4"/>
      <c r="K30" s="4"/>
      <c r="L30" s="4"/>
      <c r="M30" s="4"/>
      <c r="N30" s="4"/>
      <c r="O30" s="4"/>
      <c r="P30" s="4"/>
      <c r="Q30" s="4"/>
      <c r="R30" s="4"/>
      <c r="S30" s="4"/>
      <c r="T30" s="4"/>
      <c r="U30" s="4"/>
      <c r="V30" s="4"/>
      <c r="W30" s="4"/>
      <c r="X30" s="4"/>
      <c r="Y30" s="4"/>
      <c r="Z30" s="4"/>
    </row>
    <row r="31" ht="19.5" customHeight="1">
      <c r="A31" s="15">
        <v>29.0</v>
      </c>
      <c r="B31" s="16">
        <v>0.0</v>
      </c>
      <c r="C31" s="17">
        <v>0.0</v>
      </c>
      <c r="D31" s="18">
        <f t="array" ref="D31">B31-C31</f>
        <v>0</v>
      </c>
      <c r="E31" s="17">
        <v>0.0</v>
      </c>
      <c r="F31" s="19">
        <f t="array" ref="F31">B31-C31-E31</f>
        <v>0</v>
      </c>
      <c r="G31" s="4"/>
      <c r="H31" s="4"/>
      <c r="I31" s="4"/>
      <c r="J31" s="4"/>
      <c r="K31" s="4"/>
      <c r="L31" s="4"/>
      <c r="M31" s="4"/>
      <c r="N31" s="4"/>
      <c r="O31" s="4"/>
      <c r="P31" s="4"/>
      <c r="Q31" s="4"/>
      <c r="R31" s="4"/>
      <c r="S31" s="4"/>
      <c r="T31" s="4"/>
      <c r="U31" s="4"/>
      <c r="V31" s="4"/>
      <c r="W31" s="4"/>
      <c r="X31" s="4"/>
      <c r="Y31" s="4"/>
      <c r="Z31" s="4"/>
    </row>
    <row r="32" ht="19.5" customHeight="1">
      <c r="A32" s="15">
        <v>30.0</v>
      </c>
      <c r="B32" s="16">
        <v>0.0</v>
      </c>
      <c r="C32" s="17">
        <v>0.0</v>
      </c>
      <c r="D32" s="18">
        <f t="array" ref="D32">B32-C32</f>
        <v>0</v>
      </c>
      <c r="E32" s="17">
        <v>0.0</v>
      </c>
      <c r="F32" s="19">
        <f t="array" ref="F32">B32-C32-E32</f>
        <v>0</v>
      </c>
      <c r="G32" s="4"/>
      <c r="H32" s="4"/>
      <c r="I32" s="4"/>
      <c r="J32" s="4"/>
      <c r="K32" s="4"/>
      <c r="L32" s="4"/>
      <c r="M32" s="4"/>
      <c r="N32" s="4"/>
      <c r="O32" s="4"/>
      <c r="P32" s="4"/>
      <c r="Q32" s="4"/>
      <c r="R32" s="4"/>
      <c r="S32" s="4"/>
      <c r="T32" s="4"/>
      <c r="U32" s="4"/>
      <c r="V32" s="4"/>
      <c r="W32" s="4"/>
      <c r="X32" s="4"/>
      <c r="Y32" s="4"/>
      <c r="Z32" s="4"/>
    </row>
    <row r="33" ht="19.5" customHeight="1">
      <c r="A33" s="15">
        <v>31.0</v>
      </c>
      <c r="B33" s="16">
        <v>0.0</v>
      </c>
      <c r="C33" s="17">
        <v>0.0</v>
      </c>
      <c r="D33" s="18">
        <f t="array" ref="D33">B33-C33</f>
        <v>0</v>
      </c>
      <c r="E33" s="17">
        <v>0.0</v>
      </c>
      <c r="F33" s="19">
        <f t="array" ref="F33">B33-C33-E33</f>
        <v>0</v>
      </c>
      <c r="G33" s="4"/>
      <c r="H33" s="4"/>
      <c r="I33" s="4"/>
      <c r="J33" s="4"/>
      <c r="K33" s="4"/>
      <c r="L33" s="4"/>
      <c r="M33" s="4"/>
      <c r="N33" s="4"/>
      <c r="O33" s="4"/>
      <c r="P33" s="4"/>
      <c r="Q33" s="4"/>
      <c r="R33" s="4"/>
      <c r="S33" s="4"/>
      <c r="T33" s="4"/>
      <c r="U33" s="4"/>
      <c r="V33" s="4"/>
      <c r="W33" s="4"/>
      <c r="X33" s="4"/>
      <c r="Y33" s="4"/>
      <c r="Z33" s="4"/>
    </row>
    <row r="34" ht="25.5" customHeight="1">
      <c r="A34" s="25" t="s">
        <v>29</v>
      </c>
      <c r="B34" s="26">
        <f t="array" ref="B34">SUM(B3:B33)</f>
        <v>16787137</v>
      </c>
      <c r="C34" s="27">
        <f t="array" ref="C34">SUM(C3:C33)</f>
        <v>9926064</v>
      </c>
      <c r="D34" s="28">
        <f t="array" ref="D34">SUM(D3:D33)</f>
        <v>6861073</v>
      </c>
      <c r="E34" s="27">
        <f t="array" ref="E34">SUM(E3:E33)</f>
        <v>3088500</v>
      </c>
      <c r="F34" s="29">
        <f t="array" ref="F34">SUM(F3:F33)</f>
        <v>3772573</v>
      </c>
      <c r="G34" s="4"/>
      <c r="H34" s="4"/>
      <c r="I34" s="4"/>
      <c r="J34" s="4"/>
      <c r="K34" s="4"/>
      <c r="L34" s="4"/>
      <c r="M34" s="4"/>
      <c r="N34" s="4"/>
      <c r="O34" s="4"/>
      <c r="P34" s="4"/>
      <c r="Q34" s="4"/>
      <c r="R34" s="4"/>
      <c r="S34" s="4"/>
      <c r="T34" s="4"/>
      <c r="U34" s="4"/>
      <c r="V34" s="4"/>
      <c r="W34" s="4"/>
      <c r="X34" s="4"/>
      <c r="Y34" s="4"/>
      <c r="Z34" s="4"/>
    </row>
    <row r="35" ht="19.5" customHeight="1">
      <c r="A35" s="15"/>
      <c r="B35" s="30"/>
      <c r="C35" s="31" t="s">
        <v>30</v>
      </c>
      <c r="D35" s="17"/>
      <c r="E35" s="17"/>
      <c r="F35" s="17"/>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F1"/>
  </mergeCells>
  <printOptions/>
  <pageMargins bottom="1.0" footer="0.0" header="0.0" left="1.0" right="1.0" top="1.0"/>
  <pageSetup orientation="portrait"/>
  <headerFooter>
    <oddFooter>&amp;C000000&amp;P</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6.29"/>
    <col customWidth="1" min="2" max="2" width="19.29"/>
    <col customWidth="1" min="3" max="3" width="18.57"/>
    <col customWidth="1" min="4" max="4" width="19.29"/>
    <col customWidth="1" min="5" max="5" width="18.71"/>
    <col customWidth="1" min="6" max="6" width="18.86"/>
    <col customWidth="1" min="7" max="26" width="16.29"/>
  </cols>
  <sheetData>
    <row r="1" ht="27.0" customHeight="1">
      <c r="A1" s="2" t="s">
        <v>1</v>
      </c>
      <c r="G1" s="4"/>
      <c r="H1" s="4"/>
      <c r="I1" s="4"/>
      <c r="J1" s="4"/>
      <c r="K1" s="4"/>
      <c r="L1" s="4"/>
      <c r="M1" s="4"/>
      <c r="N1" s="4"/>
      <c r="O1" s="4"/>
      <c r="P1" s="4"/>
      <c r="Q1" s="4"/>
      <c r="R1" s="4"/>
      <c r="S1" s="4"/>
      <c r="T1" s="4"/>
      <c r="U1" s="4"/>
      <c r="V1" s="4"/>
      <c r="W1" s="4"/>
      <c r="X1" s="4"/>
      <c r="Y1" s="4"/>
      <c r="Z1" s="4"/>
    </row>
    <row r="2" ht="37.5" customHeight="1">
      <c r="A2" s="7">
        <v>46082.0</v>
      </c>
      <c r="B2" s="8" t="s">
        <v>7</v>
      </c>
      <c r="C2" s="8" t="s">
        <v>8</v>
      </c>
      <c r="D2" s="8" t="s">
        <v>9</v>
      </c>
      <c r="E2" s="8" t="s">
        <v>10</v>
      </c>
      <c r="F2" s="8" t="s">
        <v>11</v>
      </c>
      <c r="G2" s="4"/>
      <c r="H2" s="4"/>
      <c r="I2" s="4"/>
      <c r="J2" s="4"/>
      <c r="K2" s="4"/>
      <c r="L2" s="4"/>
      <c r="M2" s="4"/>
      <c r="N2" s="4"/>
      <c r="O2" s="4"/>
      <c r="P2" s="4"/>
      <c r="Q2" s="4"/>
      <c r="R2" s="4"/>
      <c r="S2" s="4"/>
      <c r="T2" s="4"/>
      <c r="U2" s="4"/>
      <c r="V2" s="4"/>
      <c r="W2" s="4"/>
      <c r="X2" s="4"/>
      <c r="Y2" s="4"/>
      <c r="Z2" s="4"/>
    </row>
    <row r="3" ht="19.5" customHeight="1">
      <c r="A3" s="10">
        <v>1.0</v>
      </c>
      <c r="B3" s="11">
        <v>1448750.0</v>
      </c>
      <c r="C3" s="12">
        <v>865000.0</v>
      </c>
      <c r="D3" s="13">
        <f t="array" ref="D3">B3-C3</f>
        <v>583750</v>
      </c>
      <c r="E3" s="12">
        <v>70000.0</v>
      </c>
      <c r="F3" s="14">
        <f t="array" ref="F3">B3-C3-E3</f>
        <v>513750</v>
      </c>
      <c r="G3" s="4"/>
      <c r="H3" s="4"/>
      <c r="I3" s="4"/>
      <c r="J3" s="4"/>
      <c r="K3" s="4"/>
      <c r="L3" s="4"/>
      <c r="M3" s="4"/>
      <c r="N3" s="4"/>
      <c r="O3" s="4"/>
      <c r="P3" s="4"/>
      <c r="Q3" s="4"/>
      <c r="R3" s="4"/>
      <c r="S3" s="4"/>
      <c r="T3" s="4"/>
      <c r="U3" s="4"/>
      <c r="V3" s="4"/>
      <c r="W3" s="4"/>
      <c r="X3" s="4"/>
      <c r="Y3" s="4"/>
      <c r="Z3" s="4"/>
    </row>
    <row r="4" ht="19.5" customHeight="1">
      <c r="A4" s="15">
        <v>2.0</v>
      </c>
      <c r="B4" s="16">
        <v>0.0</v>
      </c>
      <c r="C4" s="17">
        <v>0.0</v>
      </c>
      <c r="D4" s="18">
        <f t="array" ref="D4">B4-C4</f>
        <v>0</v>
      </c>
      <c r="E4" s="17">
        <v>0.0</v>
      </c>
      <c r="F4" s="19">
        <f t="array" ref="F4">B4-C4-E4</f>
        <v>0</v>
      </c>
      <c r="G4" s="4"/>
      <c r="H4" s="4"/>
      <c r="I4" s="4"/>
      <c r="J4" s="4"/>
      <c r="K4" s="4"/>
      <c r="L4" s="4"/>
      <c r="M4" s="4"/>
      <c r="N4" s="4"/>
      <c r="O4" s="4"/>
      <c r="P4" s="4"/>
      <c r="Q4" s="4"/>
      <c r="R4" s="4"/>
      <c r="S4" s="4"/>
      <c r="T4" s="4"/>
      <c r="U4" s="4"/>
      <c r="V4" s="4"/>
      <c r="W4" s="4"/>
      <c r="X4" s="4"/>
      <c r="Y4" s="4"/>
      <c r="Z4" s="4"/>
    </row>
    <row r="5" ht="19.5" customHeight="1">
      <c r="A5" s="15">
        <v>3.0</v>
      </c>
      <c r="B5" s="16">
        <v>448000.0</v>
      </c>
      <c r="C5" s="17">
        <v>256000.0</v>
      </c>
      <c r="D5" s="18">
        <f t="array" ref="D5">B5-C5</f>
        <v>192000</v>
      </c>
      <c r="E5" s="17">
        <v>80000.0</v>
      </c>
      <c r="F5" s="19">
        <f t="array" ref="F5">B5-C5-E5</f>
        <v>112000</v>
      </c>
      <c r="G5" s="4"/>
      <c r="H5" s="4"/>
      <c r="I5" s="4"/>
      <c r="J5" s="4"/>
      <c r="K5" s="4"/>
      <c r="L5" s="4"/>
      <c r="M5" s="4"/>
      <c r="N5" s="4"/>
      <c r="O5" s="4"/>
      <c r="P5" s="4"/>
      <c r="Q5" s="4"/>
      <c r="R5" s="4"/>
      <c r="S5" s="4"/>
      <c r="T5" s="4"/>
      <c r="U5" s="4"/>
      <c r="V5" s="4"/>
      <c r="W5" s="4"/>
      <c r="X5" s="4"/>
      <c r="Y5" s="4"/>
      <c r="Z5" s="4"/>
    </row>
    <row r="6" ht="19.5" customHeight="1">
      <c r="A6" s="15">
        <v>4.0</v>
      </c>
      <c r="B6" s="16">
        <v>691687.0</v>
      </c>
      <c r="C6" s="17">
        <v>410250.0</v>
      </c>
      <c r="D6" s="18">
        <f t="array" ref="D6">B6-C6</f>
        <v>281437</v>
      </c>
      <c r="E6" s="17">
        <v>80000.0</v>
      </c>
      <c r="F6" s="19">
        <f t="array" ref="F6">B6-C6-E6</f>
        <v>201437</v>
      </c>
      <c r="G6" s="4"/>
      <c r="H6" s="4"/>
      <c r="I6" s="4"/>
      <c r="J6" s="4"/>
      <c r="K6" s="4"/>
      <c r="L6" s="4"/>
      <c r="M6" s="4"/>
      <c r="N6" s="4"/>
      <c r="O6" s="4"/>
      <c r="P6" s="4"/>
      <c r="Q6" s="4"/>
      <c r="R6" s="4"/>
      <c r="S6" s="4"/>
      <c r="T6" s="4"/>
      <c r="U6" s="4"/>
      <c r="V6" s="4"/>
      <c r="W6" s="4"/>
      <c r="X6" s="4"/>
      <c r="Y6" s="4"/>
      <c r="Z6" s="4"/>
    </row>
    <row r="7" ht="19.5" customHeight="1">
      <c r="A7" s="15">
        <v>5.0</v>
      </c>
      <c r="B7" s="16">
        <v>158750.0</v>
      </c>
      <c r="C7" s="17">
        <v>95000.0</v>
      </c>
      <c r="D7" s="18">
        <f t="array" ref="D7">B7-C7</f>
        <v>63750</v>
      </c>
      <c r="E7" s="17">
        <v>166000.0</v>
      </c>
      <c r="F7" s="19">
        <f>D7-E7</f>
        <v>-102250</v>
      </c>
      <c r="G7" s="4"/>
      <c r="H7" s="4"/>
      <c r="I7" s="4"/>
      <c r="J7" s="4"/>
      <c r="K7" s="4"/>
      <c r="L7" s="4"/>
      <c r="M7" s="4"/>
      <c r="N7" s="4"/>
      <c r="O7" s="4"/>
      <c r="P7" s="4"/>
      <c r="Q7" s="4"/>
      <c r="R7" s="4"/>
      <c r="S7" s="4"/>
      <c r="T7" s="4"/>
      <c r="U7" s="4"/>
      <c r="V7" s="4"/>
      <c r="W7" s="4"/>
      <c r="X7" s="4"/>
      <c r="Y7" s="4"/>
      <c r="Z7" s="4"/>
    </row>
    <row r="8" ht="19.5" customHeight="1">
      <c r="A8" s="15">
        <v>6.0</v>
      </c>
      <c r="B8" s="16">
        <v>280000.0</v>
      </c>
      <c r="C8" s="17">
        <v>160000.0</v>
      </c>
      <c r="D8" s="18">
        <f t="array" ref="D8">B8-C8</f>
        <v>120000</v>
      </c>
      <c r="E8" s="20">
        <v>1395000.0</v>
      </c>
      <c r="F8" s="19">
        <f t="array" ref="F8">B8-C8-E8</f>
        <v>-1275000</v>
      </c>
      <c r="G8" s="4"/>
      <c r="H8" s="4"/>
      <c r="I8" s="4"/>
      <c r="J8" s="4"/>
      <c r="K8" s="4"/>
      <c r="L8" s="4"/>
      <c r="M8" s="4"/>
      <c r="N8" s="4"/>
      <c r="O8" s="4"/>
      <c r="P8" s="4"/>
      <c r="Q8" s="4"/>
      <c r="R8" s="4"/>
      <c r="S8" s="4"/>
      <c r="T8" s="4"/>
      <c r="U8" s="4"/>
      <c r="V8" s="4"/>
      <c r="W8" s="4"/>
      <c r="X8" s="4"/>
      <c r="Y8" s="4"/>
      <c r="Z8" s="4"/>
    </row>
    <row r="9" ht="19.5" customHeight="1">
      <c r="A9" s="15">
        <v>7.0</v>
      </c>
      <c r="B9" s="16">
        <v>1058750.0</v>
      </c>
      <c r="C9" s="17">
        <v>605000.0</v>
      </c>
      <c r="D9" s="18">
        <f t="array" ref="D9">B9-C9</f>
        <v>453750</v>
      </c>
      <c r="E9" s="17">
        <v>0.0</v>
      </c>
      <c r="F9" s="19">
        <f t="array" ref="F9">B9-C9-E9</f>
        <v>453750</v>
      </c>
      <c r="G9" s="4"/>
      <c r="H9" s="4"/>
      <c r="I9" s="4"/>
      <c r="J9" s="4"/>
      <c r="K9" s="4"/>
      <c r="L9" s="4"/>
      <c r="M9" s="4"/>
      <c r="N9" s="4"/>
      <c r="O9" s="4"/>
      <c r="P9" s="4"/>
      <c r="Q9" s="4"/>
      <c r="R9" s="4"/>
      <c r="S9" s="4"/>
      <c r="T9" s="4"/>
      <c r="U9" s="4"/>
      <c r="V9" s="4"/>
      <c r="W9" s="4"/>
      <c r="X9" s="4"/>
      <c r="Y9" s="4"/>
      <c r="Z9" s="4"/>
    </row>
    <row r="10" ht="19.5" customHeight="1">
      <c r="A10" s="15">
        <v>8.0</v>
      </c>
      <c r="B10" s="16">
        <v>187500.0</v>
      </c>
      <c r="C10" s="17">
        <v>107100.0</v>
      </c>
      <c r="D10" s="18">
        <f t="array" ref="D10">B10-C10</f>
        <v>80400</v>
      </c>
      <c r="E10" s="20">
        <v>270000.0</v>
      </c>
      <c r="F10" s="19">
        <f t="array" ref="F10">B10-C10-E10</f>
        <v>-189600</v>
      </c>
      <c r="G10" s="4"/>
      <c r="H10" s="4"/>
      <c r="I10" s="4"/>
      <c r="J10" s="4"/>
      <c r="K10" s="4"/>
      <c r="L10" s="4"/>
      <c r="M10" s="4"/>
      <c r="N10" s="4"/>
      <c r="O10" s="4"/>
      <c r="P10" s="4"/>
      <c r="Q10" s="4"/>
      <c r="R10" s="4"/>
      <c r="S10" s="4"/>
      <c r="T10" s="4"/>
      <c r="U10" s="4"/>
      <c r="V10" s="4"/>
      <c r="W10" s="4"/>
      <c r="X10" s="4"/>
      <c r="Y10" s="4"/>
      <c r="Z10" s="4"/>
    </row>
    <row r="11" ht="19.5" customHeight="1">
      <c r="A11" s="15">
        <v>9.0</v>
      </c>
      <c r="B11" s="16">
        <v>0.0</v>
      </c>
      <c r="C11" s="17">
        <v>0.0</v>
      </c>
      <c r="D11" s="18">
        <f t="array" ref="D11">B11-C11</f>
        <v>0</v>
      </c>
      <c r="E11" s="17">
        <v>0.0</v>
      </c>
      <c r="F11" s="19">
        <f t="array" ref="F11">B11-C11-E11</f>
        <v>0</v>
      </c>
      <c r="G11" s="4"/>
      <c r="H11" s="4"/>
      <c r="I11" s="4"/>
      <c r="J11" s="4"/>
      <c r="K11" s="4"/>
      <c r="L11" s="4"/>
      <c r="M11" s="4"/>
      <c r="N11" s="4"/>
      <c r="O11" s="4"/>
      <c r="P11" s="4"/>
      <c r="Q11" s="4"/>
      <c r="R11" s="4"/>
      <c r="S11" s="4"/>
      <c r="T11" s="4"/>
      <c r="U11" s="4"/>
      <c r="V11" s="4"/>
      <c r="W11" s="4"/>
      <c r="X11" s="4"/>
      <c r="Y11" s="4"/>
      <c r="Z11" s="4"/>
    </row>
    <row r="12" ht="19.5" customHeight="1">
      <c r="A12" s="15">
        <v>10.0</v>
      </c>
      <c r="B12" s="16">
        <v>825000.0</v>
      </c>
      <c r="C12" s="17">
        <v>510000.0</v>
      </c>
      <c r="D12" s="18">
        <f t="array" ref="D12">B12-C12</f>
        <v>315000</v>
      </c>
      <c r="E12" s="20">
        <v>80000.0</v>
      </c>
      <c r="F12" s="19">
        <f t="array" ref="F12">B12-C12-E12</f>
        <v>235000</v>
      </c>
      <c r="G12" s="4"/>
      <c r="H12" s="4"/>
      <c r="I12" s="4"/>
      <c r="J12" s="4"/>
      <c r="K12" s="4"/>
      <c r="L12" s="4"/>
      <c r="M12" s="4"/>
      <c r="N12" s="4"/>
      <c r="O12" s="4"/>
      <c r="P12" s="4"/>
      <c r="Q12" s="4"/>
      <c r="R12" s="4"/>
      <c r="S12" s="4"/>
      <c r="T12" s="4"/>
      <c r="U12" s="4"/>
      <c r="V12" s="4"/>
      <c r="W12" s="4"/>
      <c r="X12" s="4"/>
      <c r="Y12" s="4"/>
      <c r="Z12" s="4"/>
    </row>
    <row r="13" ht="19.5" customHeight="1">
      <c r="A13" s="15">
        <v>11.0</v>
      </c>
      <c r="B13" s="16">
        <v>2029500.0</v>
      </c>
      <c r="C13" s="17">
        <v>1234900.0</v>
      </c>
      <c r="D13" s="18">
        <f t="array" ref="D13">B13-C13</f>
        <v>794600</v>
      </c>
      <c r="E13" s="17">
        <v>119500.0</v>
      </c>
      <c r="F13" s="19">
        <f t="array" ref="F13">B13-C13-E13</f>
        <v>675100</v>
      </c>
      <c r="G13" s="4"/>
      <c r="H13" s="4"/>
      <c r="I13" s="4"/>
      <c r="J13" s="4"/>
      <c r="K13" s="4"/>
      <c r="L13" s="4"/>
      <c r="M13" s="4"/>
      <c r="N13" s="4"/>
      <c r="O13" s="4"/>
      <c r="P13" s="4"/>
      <c r="Q13" s="4"/>
      <c r="R13" s="4"/>
      <c r="S13" s="4"/>
      <c r="T13" s="4"/>
      <c r="U13" s="4"/>
      <c r="V13" s="4"/>
      <c r="W13" s="4"/>
      <c r="X13" s="4"/>
      <c r="Y13" s="4"/>
      <c r="Z13" s="4"/>
    </row>
    <row r="14" ht="19.5" customHeight="1">
      <c r="A14" s="15">
        <v>12.0</v>
      </c>
      <c r="B14" s="16">
        <v>2672250.0</v>
      </c>
      <c r="C14" s="17">
        <v>1522000.0</v>
      </c>
      <c r="D14" s="18">
        <f t="array" ref="D14">B14-C14</f>
        <v>1150250</v>
      </c>
      <c r="E14" s="17">
        <v>100000.0</v>
      </c>
      <c r="F14" s="19">
        <f t="array" ref="F14">B14-C14-E14</f>
        <v>1050250</v>
      </c>
      <c r="G14" s="4"/>
      <c r="H14" s="4"/>
      <c r="I14" s="4"/>
      <c r="J14" s="4"/>
      <c r="K14" s="4"/>
      <c r="L14" s="4"/>
      <c r="M14" s="4"/>
      <c r="N14" s="4"/>
      <c r="O14" s="4"/>
      <c r="P14" s="4"/>
      <c r="Q14" s="4"/>
      <c r="R14" s="4"/>
      <c r="S14" s="4"/>
      <c r="T14" s="4"/>
      <c r="U14" s="4"/>
      <c r="V14" s="4"/>
      <c r="W14" s="4"/>
      <c r="X14" s="4"/>
      <c r="Y14" s="4"/>
      <c r="Z14" s="4"/>
    </row>
    <row r="15" ht="19.5" customHeight="1">
      <c r="A15" s="15">
        <v>13.0</v>
      </c>
      <c r="B15" s="16">
        <v>2048250.0</v>
      </c>
      <c r="C15" s="17">
        <v>1344000.0</v>
      </c>
      <c r="D15" s="18">
        <f t="array" ref="D15">B15-C15</f>
        <v>704250</v>
      </c>
      <c r="E15" s="20">
        <v>97000.0</v>
      </c>
      <c r="F15" s="19">
        <f t="array" ref="F15">B15-C15-E15</f>
        <v>607250</v>
      </c>
      <c r="G15" s="4"/>
      <c r="H15" s="4"/>
      <c r="I15" s="4"/>
      <c r="J15" s="4"/>
      <c r="K15" s="4"/>
      <c r="L15" s="4"/>
      <c r="M15" s="4"/>
      <c r="N15" s="4"/>
      <c r="O15" s="4"/>
      <c r="P15" s="4"/>
      <c r="Q15" s="4"/>
      <c r="R15" s="4"/>
      <c r="S15" s="4"/>
      <c r="T15" s="4"/>
      <c r="U15" s="4"/>
      <c r="V15" s="4"/>
      <c r="W15" s="4"/>
      <c r="X15" s="4"/>
      <c r="Y15" s="4"/>
      <c r="Z15" s="4"/>
    </row>
    <row r="16" ht="19.5" customHeight="1">
      <c r="A16" s="15">
        <v>14.0</v>
      </c>
      <c r="B16" s="16">
        <v>754250.0</v>
      </c>
      <c r="C16" s="17">
        <v>436000.0</v>
      </c>
      <c r="D16" s="18">
        <f t="array" ref="D16">B16-C16</f>
        <v>318250</v>
      </c>
      <c r="E16" s="17">
        <v>160000.0</v>
      </c>
      <c r="F16" s="19">
        <f t="array" ref="F16">B16-C16-E16</f>
        <v>158250</v>
      </c>
      <c r="G16" s="4"/>
      <c r="H16" s="4"/>
      <c r="I16" s="4"/>
      <c r="J16" s="4"/>
      <c r="K16" s="4"/>
      <c r="L16" s="4"/>
      <c r="M16" s="4"/>
      <c r="N16" s="4"/>
      <c r="O16" s="4"/>
      <c r="P16" s="4"/>
      <c r="Q16" s="4"/>
      <c r="R16" s="4"/>
      <c r="S16" s="4"/>
      <c r="T16" s="4"/>
      <c r="U16" s="4"/>
      <c r="V16" s="4"/>
      <c r="W16" s="4"/>
      <c r="X16" s="4"/>
      <c r="Y16" s="4"/>
      <c r="Z16" s="4"/>
    </row>
    <row r="17" ht="19.5" customHeight="1">
      <c r="A17" s="15">
        <v>15.0</v>
      </c>
      <c r="B17" s="16">
        <v>1620000.0</v>
      </c>
      <c r="C17" s="17">
        <v>1018000.0</v>
      </c>
      <c r="D17" s="18">
        <f t="array" ref="D17">B17-C17</f>
        <v>602000</v>
      </c>
      <c r="E17" s="17">
        <v>70000.0</v>
      </c>
      <c r="F17" s="19">
        <f t="array" ref="F17">B17-C17-E17</f>
        <v>532000</v>
      </c>
      <c r="G17" s="4"/>
      <c r="H17" s="4"/>
      <c r="I17" s="4"/>
      <c r="J17" s="4"/>
      <c r="K17" s="4"/>
      <c r="L17" s="4"/>
      <c r="M17" s="4"/>
      <c r="N17" s="4"/>
      <c r="O17" s="4"/>
      <c r="P17" s="4"/>
      <c r="Q17" s="4"/>
      <c r="R17" s="4"/>
      <c r="S17" s="4"/>
      <c r="T17" s="4"/>
      <c r="U17" s="4"/>
      <c r="V17" s="4"/>
      <c r="W17" s="4"/>
      <c r="X17" s="4"/>
      <c r="Y17" s="4"/>
      <c r="Z17" s="4"/>
    </row>
    <row r="18" ht="19.5" customHeight="1">
      <c r="A18" s="15">
        <v>16.0</v>
      </c>
      <c r="B18" s="16">
        <v>631250.0</v>
      </c>
      <c r="C18" s="17">
        <v>365000.0</v>
      </c>
      <c r="D18" s="18">
        <f t="array" ref="D18">B18-C18</f>
        <v>266250</v>
      </c>
      <c r="E18" s="20">
        <v>150000.0</v>
      </c>
      <c r="F18" s="19">
        <f t="array" ref="F18">B18-C18-E18</f>
        <v>116250</v>
      </c>
      <c r="G18" s="4"/>
      <c r="H18" s="4"/>
      <c r="I18" s="4"/>
      <c r="J18" s="4"/>
      <c r="K18" s="4"/>
      <c r="L18" s="4"/>
      <c r="M18" s="4"/>
      <c r="N18" s="4"/>
      <c r="O18" s="4"/>
      <c r="P18" s="4"/>
      <c r="Q18" s="4"/>
      <c r="R18" s="4"/>
      <c r="S18" s="4"/>
      <c r="T18" s="4"/>
      <c r="U18" s="4"/>
      <c r="V18" s="4"/>
      <c r="W18" s="4"/>
      <c r="X18" s="4"/>
      <c r="Y18" s="4"/>
      <c r="Z18" s="4"/>
    </row>
    <row r="19" ht="19.5" customHeight="1">
      <c r="A19" s="15">
        <v>17.0</v>
      </c>
      <c r="B19" s="16">
        <v>0.0</v>
      </c>
      <c r="C19" s="17">
        <v>0.0</v>
      </c>
      <c r="D19" s="18">
        <f t="array" ref="D19">B19-C19</f>
        <v>0</v>
      </c>
      <c r="E19" s="17">
        <v>700000.0</v>
      </c>
      <c r="F19" s="19">
        <f t="array" ref="F19">B19-C19-E19</f>
        <v>-700000</v>
      </c>
      <c r="G19" s="4"/>
      <c r="H19" s="4"/>
      <c r="I19" s="4"/>
      <c r="J19" s="4"/>
      <c r="K19" s="4"/>
      <c r="L19" s="4"/>
      <c r="M19" s="4"/>
      <c r="N19" s="4"/>
      <c r="O19" s="4"/>
      <c r="P19" s="4"/>
      <c r="Q19" s="4"/>
      <c r="R19" s="4"/>
      <c r="S19" s="4"/>
      <c r="T19" s="4"/>
      <c r="U19" s="4"/>
      <c r="V19" s="4"/>
      <c r="W19" s="4"/>
      <c r="X19" s="4"/>
      <c r="Y19" s="4"/>
      <c r="Z19" s="4"/>
    </row>
    <row r="20" ht="19.5" customHeight="1">
      <c r="A20" s="15">
        <v>18.0</v>
      </c>
      <c r="B20" s="16">
        <v>601750.0</v>
      </c>
      <c r="C20" s="17">
        <v>343900.0</v>
      </c>
      <c r="D20" s="18">
        <f t="array" ref="D20">B20-C20</f>
        <v>257850</v>
      </c>
      <c r="E20" s="17">
        <v>207000.0</v>
      </c>
      <c r="F20" s="19">
        <f t="array" ref="F20">B20-C20-E20</f>
        <v>50850</v>
      </c>
      <c r="G20" s="4"/>
      <c r="H20" s="4"/>
      <c r="I20" s="4"/>
      <c r="J20" s="4"/>
      <c r="K20" s="4"/>
      <c r="L20" s="4"/>
      <c r="M20" s="4"/>
      <c r="N20" s="4"/>
      <c r="O20" s="4"/>
      <c r="P20" s="4"/>
      <c r="Q20" s="4"/>
      <c r="R20" s="4"/>
      <c r="S20" s="4"/>
      <c r="T20" s="4"/>
      <c r="U20" s="4"/>
      <c r="V20" s="4"/>
      <c r="W20" s="4"/>
      <c r="X20" s="4"/>
      <c r="Y20" s="4"/>
      <c r="Z20" s="4"/>
    </row>
    <row r="21" ht="19.5" customHeight="1">
      <c r="A21" s="15">
        <v>19.0</v>
      </c>
      <c r="B21" s="16">
        <v>192500.0</v>
      </c>
      <c r="C21" s="17">
        <v>110000.0</v>
      </c>
      <c r="D21" s="18">
        <f t="array" ref="D21">B21-C21</f>
        <v>82500</v>
      </c>
      <c r="E21" s="17">
        <v>80000.0</v>
      </c>
      <c r="F21" s="19">
        <f t="array" ref="F21">B21-C21-E21</f>
        <v>2500</v>
      </c>
      <c r="G21" s="4"/>
      <c r="H21" s="4"/>
      <c r="I21" s="4"/>
      <c r="J21" s="4"/>
      <c r="K21" s="4"/>
      <c r="L21" s="4"/>
      <c r="M21" s="4"/>
      <c r="N21" s="4"/>
      <c r="O21" s="4"/>
      <c r="P21" s="4"/>
      <c r="Q21" s="4"/>
      <c r="R21" s="4"/>
      <c r="S21" s="4"/>
      <c r="T21" s="4"/>
      <c r="U21" s="4"/>
      <c r="V21" s="4"/>
      <c r="W21" s="4"/>
      <c r="X21" s="4"/>
      <c r="Y21" s="4"/>
      <c r="Z21" s="4"/>
    </row>
    <row r="22" ht="19.5" customHeight="1">
      <c r="A22" s="15">
        <v>20.0</v>
      </c>
      <c r="B22" s="16">
        <v>728900.0</v>
      </c>
      <c r="C22" s="17">
        <v>415882.0</v>
      </c>
      <c r="D22" s="18">
        <f t="array" ref="D22">B22-C22</f>
        <v>313018</v>
      </c>
      <c r="E22" s="17">
        <v>80000.0</v>
      </c>
      <c r="F22" s="19">
        <f t="array" ref="F22">B22-C22-E22</f>
        <v>233018</v>
      </c>
      <c r="G22" s="4"/>
      <c r="H22" s="4"/>
      <c r="I22" s="4"/>
      <c r="J22" s="4"/>
      <c r="K22" s="4"/>
      <c r="L22" s="4"/>
      <c r="M22" s="4"/>
      <c r="N22" s="4"/>
      <c r="O22" s="4"/>
      <c r="P22" s="4"/>
      <c r="Q22" s="4"/>
      <c r="R22" s="4"/>
      <c r="S22" s="4"/>
      <c r="T22" s="4"/>
      <c r="U22" s="4"/>
      <c r="V22" s="4"/>
      <c r="W22" s="4"/>
      <c r="X22" s="4"/>
      <c r="Y22" s="4"/>
      <c r="Z22" s="4"/>
    </row>
    <row r="23" ht="19.5" customHeight="1">
      <c r="A23" s="15">
        <v>21.0</v>
      </c>
      <c r="B23" s="16">
        <v>2339750.0</v>
      </c>
      <c r="C23" s="17">
        <v>1362000.0</v>
      </c>
      <c r="D23" s="18">
        <f t="array" ref="D23">B23-C23</f>
        <v>977750</v>
      </c>
      <c r="E23" s="20">
        <v>80000.0</v>
      </c>
      <c r="F23" s="19">
        <f t="array" ref="F23">B23-C23-E23</f>
        <v>897750</v>
      </c>
      <c r="G23" s="4"/>
      <c r="H23" s="4"/>
      <c r="I23" s="4"/>
      <c r="J23" s="4"/>
      <c r="K23" s="4"/>
      <c r="L23" s="4"/>
      <c r="M23" s="4"/>
      <c r="N23" s="4"/>
      <c r="O23" s="4"/>
      <c r="P23" s="4"/>
      <c r="Q23" s="4"/>
      <c r="R23" s="4"/>
      <c r="S23" s="4"/>
      <c r="T23" s="4"/>
      <c r="U23" s="4"/>
      <c r="V23" s="4"/>
      <c r="W23" s="4"/>
      <c r="X23" s="4"/>
      <c r="Y23" s="4"/>
      <c r="Z23" s="4"/>
    </row>
    <row r="24" ht="19.5" customHeight="1">
      <c r="A24" s="15">
        <v>22.0</v>
      </c>
      <c r="B24" s="16">
        <v>542750.0</v>
      </c>
      <c r="C24" s="17">
        <v>340000.0</v>
      </c>
      <c r="D24" s="18">
        <f t="array" ref="D24">B24-C24</f>
        <v>202750</v>
      </c>
      <c r="E24" s="17">
        <v>75700.0</v>
      </c>
      <c r="F24" s="19">
        <f t="array" ref="F24">B24-C24-E24</f>
        <v>127050</v>
      </c>
      <c r="G24" s="4"/>
      <c r="H24" s="4"/>
      <c r="I24" s="4"/>
      <c r="J24" s="4"/>
      <c r="K24" s="4"/>
      <c r="L24" s="4"/>
      <c r="M24" s="4"/>
      <c r="N24" s="4"/>
      <c r="O24" s="4"/>
      <c r="P24" s="4"/>
      <c r="Q24" s="4"/>
      <c r="R24" s="4"/>
      <c r="S24" s="4"/>
      <c r="T24" s="4"/>
      <c r="U24" s="4"/>
      <c r="V24" s="4"/>
      <c r="W24" s="4"/>
      <c r="X24" s="4"/>
      <c r="Y24" s="4"/>
      <c r="Z24" s="4"/>
    </row>
    <row r="25" ht="19.5" customHeight="1">
      <c r="A25" s="15">
        <v>23.0</v>
      </c>
      <c r="B25" s="16">
        <v>0.0</v>
      </c>
      <c r="C25" s="17">
        <v>0.0</v>
      </c>
      <c r="D25" s="18">
        <f t="array" ref="D25">B25-C25</f>
        <v>0</v>
      </c>
      <c r="E25" s="17"/>
      <c r="F25" s="19">
        <f t="array" ref="F25">B25-C25-E25</f>
        <v>0</v>
      </c>
      <c r="G25" s="4"/>
      <c r="H25" s="4"/>
      <c r="I25" s="4"/>
      <c r="J25" s="4"/>
      <c r="K25" s="4"/>
      <c r="L25" s="4"/>
      <c r="M25" s="4"/>
      <c r="N25" s="4"/>
      <c r="O25" s="4"/>
      <c r="P25" s="4"/>
      <c r="Q25" s="4"/>
      <c r="R25" s="4"/>
      <c r="S25" s="4"/>
      <c r="T25" s="4"/>
      <c r="U25" s="4"/>
      <c r="V25" s="4"/>
      <c r="W25" s="4"/>
      <c r="X25" s="4"/>
      <c r="Y25" s="4"/>
      <c r="Z25" s="4"/>
    </row>
    <row r="26" ht="19.5" customHeight="1">
      <c r="A26" s="15">
        <v>24.0</v>
      </c>
      <c r="B26" s="16">
        <v>0.0</v>
      </c>
      <c r="C26" s="17">
        <v>0.0</v>
      </c>
      <c r="D26" s="18">
        <f t="array" ref="D26">B26-C26</f>
        <v>0</v>
      </c>
      <c r="E26" s="17">
        <v>245500.0</v>
      </c>
      <c r="F26" s="19">
        <f t="array" ref="F26">B26-C26-E26</f>
        <v>-245500</v>
      </c>
      <c r="G26" s="4"/>
      <c r="H26" s="4"/>
      <c r="I26" s="4"/>
      <c r="J26" s="4"/>
      <c r="K26" s="4"/>
      <c r="L26" s="4"/>
      <c r="M26" s="4"/>
      <c r="N26" s="4"/>
      <c r="O26" s="4"/>
      <c r="P26" s="4"/>
      <c r="Q26" s="4"/>
      <c r="R26" s="4"/>
      <c r="S26" s="4"/>
      <c r="T26" s="4"/>
      <c r="U26" s="4"/>
      <c r="V26" s="4"/>
      <c r="W26" s="4"/>
      <c r="X26" s="4"/>
      <c r="Y26" s="4"/>
      <c r="Z26" s="4"/>
    </row>
    <row r="27" ht="19.5" customHeight="1">
      <c r="A27" s="15">
        <v>25.0</v>
      </c>
      <c r="B27" s="16">
        <v>1192625.0</v>
      </c>
      <c r="C27" s="17">
        <v>704000.0</v>
      </c>
      <c r="D27" s="18">
        <f t="array" ref="D27">B27-C27</f>
        <v>488625</v>
      </c>
      <c r="E27" s="17">
        <v>100000.0</v>
      </c>
      <c r="F27" s="19">
        <f t="array" ref="F27">B27-C27-E27</f>
        <v>388625</v>
      </c>
      <c r="G27" s="4"/>
      <c r="H27" s="4"/>
      <c r="I27" s="4"/>
      <c r="J27" s="4"/>
      <c r="K27" s="4"/>
      <c r="L27" s="4"/>
      <c r="M27" s="4"/>
      <c r="N27" s="4"/>
      <c r="O27" s="4"/>
      <c r="P27" s="4"/>
      <c r="Q27" s="4"/>
      <c r="R27" s="4"/>
      <c r="S27" s="4"/>
      <c r="T27" s="4"/>
      <c r="U27" s="4"/>
      <c r="V27" s="4"/>
      <c r="W27" s="4"/>
      <c r="X27" s="4"/>
      <c r="Y27" s="4"/>
      <c r="Z27" s="4"/>
    </row>
    <row r="28" ht="19.5" customHeight="1">
      <c r="A28" s="15">
        <v>26.0</v>
      </c>
      <c r="B28" s="16">
        <v>577500.0</v>
      </c>
      <c r="C28" s="17">
        <v>325000.0</v>
      </c>
      <c r="D28" s="18">
        <f t="array" ref="D28">B28-C28</f>
        <v>252500</v>
      </c>
      <c r="E28" s="17">
        <v>200000.0</v>
      </c>
      <c r="F28" s="19">
        <f t="array" ref="F28">B28-C28-E28</f>
        <v>52500</v>
      </c>
      <c r="G28" s="4"/>
      <c r="H28" s="4"/>
      <c r="I28" s="4"/>
      <c r="J28" s="4"/>
      <c r="K28" s="4"/>
      <c r="L28" s="4"/>
      <c r="M28" s="4"/>
      <c r="N28" s="4"/>
      <c r="O28" s="4"/>
      <c r="P28" s="4"/>
      <c r="Q28" s="4"/>
      <c r="R28" s="4"/>
      <c r="S28" s="4"/>
      <c r="T28" s="4"/>
      <c r="U28" s="4"/>
      <c r="V28" s="4"/>
      <c r="W28" s="4"/>
      <c r="X28" s="4"/>
      <c r="Y28" s="4"/>
      <c r="Z28" s="4"/>
    </row>
    <row r="29" ht="19.5" customHeight="1">
      <c r="A29" s="15">
        <v>27.0</v>
      </c>
      <c r="B29" s="16">
        <v>80500.0</v>
      </c>
      <c r="C29" s="17">
        <v>46000.0</v>
      </c>
      <c r="D29" s="18">
        <f t="array" ref="D29">B29-C29</f>
        <v>34500</v>
      </c>
      <c r="E29" s="20">
        <v>107500.0</v>
      </c>
      <c r="F29" s="19">
        <f t="array" ref="F29">B29-C29-E29</f>
        <v>-73000</v>
      </c>
      <c r="G29" s="4"/>
      <c r="H29" s="4"/>
      <c r="I29" s="4"/>
      <c r="J29" s="4"/>
      <c r="K29" s="4"/>
      <c r="L29" s="4"/>
      <c r="M29" s="4"/>
      <c r="N29" s="4"/>
      <c r="O29" s="4"/>
      <c r="P29" s="4"/>
      <c r="Q29" s="4"/>
      <c r="R29" s="4"/>
      <c r="S29" s="4"/>
      <c r="T29" s="4"/>
      <c r="U29" s="4"/>
      <c r="V29" s="4"/>
      <c r="W29" s="4"/>
      <c r="X29" s="4"/>
      <c r="Y29" s="4"/>
      <c r="Z29" s="4"/>
    </row>
    <row r="30" ht="19.5" customHeight="1">
      <c r="A30" s="15">
        <v>28.0</v>
      </c>
      <c r="B30" s="16">
        <v>1319900.0</v>
      </c>
      <c r="C30" s="17">
        <v>772235.0</v>
      </c>
      <c r="D30" s="18">
        <f t="array" ref="D30">B30-C30</f>
        <v>547665</v>
      </c>
      <c r="E30" s="20">
        <v>80000.0</v>
      </c>
      <c r="F30" s="19">
        <f t="array" ref="F30">B30-C30-E30</f>
        <v>467665</v>
      </c>
      <c r="G30" s="4"/>
      <c r="H30" s="4"/>
      <c r="I30" s="4"/>
      <c r="J30" s="4"/>
      <c r="K30" s="4"/>
      <c r="L30" s="4"/>
      <c r="M30" s="4"/>
      <c r="N30" s="4"/>
      <c r="O30" s="4"/>
      <c r="P30" s="4"/>
      <c r="Q30" s="4"/>
      <c r="R30" s="4"/>
      <c r="S30" s="4"/>
      <c r="T30" s="4"/>
      <c r="U30" s="4"/>
      <c r="V30" s="4"/>
      <c r="W30" s="4"/>
      <c r="X30" s="4"/>
      <c r="Y30" s="4"/>
      <c r="Z30" s="4"/>
    </row>
    <row r="31" ht="19.5" customHeight="1">
      <c r="A31" s="15">
        <v>29.0</v>
      </c>
      <c r="B31" s="16">
        <v>607180.0</v>
      </c>
      <c r="C31" s="17">
        <v>348941.0</v>
      </c>
      <c r="D31" s="18">
        <f t="array" ref="D31">B31-C31</f>
        <v>258239</v>
      </c>
      <c r="E31" s="17">
        <v>80000.0</v>
      </c>
      <c r="F31" s="19">
        <f t="array" ref="F31">B31-C31-E31</f>
        <v>178239</v>
      </c>
      <c r="G31" s="4"/>
      <c r="H31" s="4"/>
      <c r="I31" s="4"/>
      <c r="J31" s="4"/>
      <c r="K31" s="4"/>
      <c r="L31" s="4"/>
      <c r="M31" s="4"/>
      <c r="N31" s="4"/>
      <c r="O31" s="4"/>
      <c r="P31" s="4"/>
      <c r="Q31" s="4"/>
      <c r="R31" s="4"/>
      <c r="S31" s="4"/>
      <c r="T31" s="4"/>
      <c r="U31" s="4"/>
      <c r="V31" s="4"/>
      <c r="W31" s="4"/>
      <c r="X31" s="4"/>
      <c r="Y31" s="4"/>
      <c r="Z31" s="4"/>
    </row>
    <row r="32" ht="19.5" customHeight="1">
      <c r="A32" s="15">
        <v>30.0</v>
      </c>
      <c r="B32" s="16">
        <v>0.0</v>
      </c>
      <c r="C32" s="17">
        <v>0.0</v>
      </c>
      <c r="D32" s="18">
        <f t="array" ref="D32">B32-C32</f>
        <v>0</v>
      </c>
      <c r="E32" s="17"/>
      <c r="F32" s="19">
        <f t="array" ref="F32">B32-C32-E32</f>
        <v>0</v>
      </c>
      <c r="G32" s="4"/>
      <c r="H32" s="4"/>
      <c r="I32" s="4"/>
      <c r="J32" s="4"/>
      <c r="K32" s="4"/>
      <c r="L32" s="4"/>
      <c r="M32" s="4"/>
      <c r="N32" s="4"/>
      <c r="O32" s="4"/>
      <c r="P32" s="4"/>
      <c r="Q32" s="4"/>
      <c r="R32" s="4"/>
      <c r="S32" s="4"/>
      <c r="T32" s="4"/>
      <c r="U32" s="4"/>
      <c r="V32" s="4"/>
      <c r="W32" s="4"/>
      <c r="X32" s="4"/>
      <c r="Y32" s="4"/>
      <c r="Z32" s="4"/>
    </row>
    <row r="33" ht="19.5" customHeight="1">
      <c r="A33" s="15">
        <v>31.0</v>
      </c>
      <c r="B33" s="16">
        <v>469000.0</v>
      </c>
      <c r="C33" s="17">
        <v>268000.0</v>
      </c>
      <c r="D33" s="18">
        <f t="array" ref="D33">B33-C33</f>
        <v>201000</v>
      </c>
      <c r="E33" s="20">
        <v>200000.0</v>
      </c>
      <c r="F33" s="19">
        <f t="array" ref="F33">B33-C33-E33</f>
        <v>1000</v>
      </c>
      <c r="G33" s="4"/>
      <c r="H33" s="4"/>
      <c r="I33" s="4"/>
      <c r="J33" s="4"/>
      <c r="K33" s="4"/>
      <c r="L33" s="4"/>
      <c r="M33" s="4"/>
      <c r="N33" s="4"/>
      <c r="O33" s="4"/>
      <c r="P33" s="4"/>
      <c r="Q33" s="4"/>
      <c r="R33" s="4"/>
      <c r="S33" s="4"/>
      <c r="T33" s="4"/>
      <c r="U33" s="4"/>
      <c r="V33" s="4"/>
      <c r="W33" s="4"/>
      <c r="X33" s="4"/>
      <c r="Y33" s="4"/>
      <c r="Z33" s="4"/>
    </row>
    <row r="34" ht="25.5" customHeight="1">
      <c r="A34" s="25" t="s">
        <v>29</v>
      </c>
      <c r="B34" s="26">
        <f t="array" ref="B34">SUM(B3:B33)</f>
        <v>23506292</v>
      </c>
      <c r="C34" s="27">
        <f t="array" ref="C34">SUM(C3:C33)</f>
        <v>13964208</v>
      </c>
      <c r="D34" s="28">
        <f t="array" ref="D34">SUM(D3:D33)</f>
        <v>9542084</v>
      </c>
      <c r="E34" s="27">
        <f t="array" ref="E34">SUM(E3:E33)</f>
        <v>5073200</v>
      </c>
      <c r="F34" s="29">
        <f t="array" ref="F34">SUM(F3:F33)</f>
        <v>4468884</v>
      </c>
      <c r="G34" s="4"/>
      <c r="H34" s="4"/>
      <c r="I34" s="4"/>
      <c r="J34" s="4"/>
      <c r="K34" s="4"/>
      <c r="L34" s="4"/>
      <c r="M34" s="4"/>
      <c r="N34" s="4"/>
      <c r="O34" s="4"/>
      <c r="P34" s="4"/>
      <c r="Q34" s="4"/>
      <c r="R34" s="4"/>
      <c r="S34" s="4"/>
      <c r="T34" s="4"/>
      <c r="U34" s="4"/>
      <c r="V34" s="4"/>
      <c r="W34" s="4"/>
      <c r="X34" s="4"/>
      <c r="Y34" s="4"/>
      <c r="Z34" s="4"/>
    </row>
    <row r="35" ht="19.5" customHeight="1">
      <c r="A35" s="15"/>
      <c r="B35" s="30"/>
      <c r="C35" s="31" t="s">
        <v>30</v>
      </c>
      <c r="D35" s="17"/>
      <c r="E35" s="17"/>
      <c r="F35" s="17"/>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F1"/>
  </mergeCells>
  <printOptions/>
  <pageMargins bottom="1.0" footer="0.0" header="0.0" left="1.0" right="1.0" top="1.0"/>
  <pageSetup orientation="portrait"/>
  <headerFooter>
    <oddFooter>&amp;C000000&amp;P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6.29"/>
    <col customWidth="1" min="2" max="2" width="19.29"/>
    <col customWidth="1" min="3" max="3" width="18.29"/>
    <col customWidth="1" min="4" max="4" width="20.0"/>
    <col customWidth="1" min="5" max="5" width="19.14"/>
    <col customWidth="1" min="6" max="6" width="17.14"/>
    <col customWidth="1" min="7" max="26" width="16.29"/>
  </cols>
  <sheetData>
    <row r="1" ht="27.0" customHeight="1">
      <c r="A1" s="2" t="s">
        <v>1</v>
      </c>
      <c r="G1" s="4"/>
      <c r="H1" s="4"/>
      <c r="I1" s="4"/>
      <c r="J1" s="4"/>
      <c r="K1" s="4"/>
      <c r="L1" s="4"/>
      <c r="M1" s="4"/>
      <c r="N1" s="4"/>
      <c r="O1" s="4"/>
      <c r="P1" s="4"/>
      <c r="Q1" s="4"/>
      <c r="R1" s="4"/>
      <c r="S1" s="4"/>
      <c r="T1" s="4"/>
      <c r="U1" s="4"/>
      <c r="V1" s="4"/>
      <c r="W1" s="4"/>
      <c r="X1" s="4"/>
      <c r="Y1" s="4"/>
      <c r="Z1" s="4"/>
    </row>
    <row r="2" ht="37.5" customHeight="1">
      <c r="A2" s="7">
        <v>46113.0</v>
      </c>
      <c r="B2" s="8" t="s">
        <v>7</v>
      </c>
      <c r="C2" s="8" t="s">
        <v>8</v>
      </c>
      <c r="D2" s="8" t="s">
        <v>9</v>
      </c>
      <c r="E2" s="8" t="s">
        <v>10</v>
      </c>
      <c r="F2" s="8" t="s">
        <v>11</v>
      </c>
      <c r="G2" s="4"/>
      <c r="H2" s="4"/>
      <c r="I2" s="4"/>
      <c r="J2" s="4"/>
      <c r="K2" s="4"/>
      <c r="L2" s="4"/>
      <c r="M2" s="4"/>
      <c r="N2" s="4"/>
      <c r="O2" s="4"/>
      <c r="P2" s="4"/>
      <c r="Q2" s="4"/>
      <c r="R2" s="4"/>
      <c r="S2" s="4"/>
      <c r="T2" s="4"/>
      <c r="U2" s="4"/>
      <c r="V2" s="4"/>
      <c r="W2" s="4"/>
      <c r="X2" s="4"/>
      <c r="Y2" s="4"/>
      <c r="Z2" s="4"/>
    </row>
    <row r="3" ht="19.5" customHeight="1">
      <c r="A3" s="10">
        <v>1.0</v>
      </c>
      <c r="B3" s="11">
        <v>606500.0</v>
      </c>
      <c r="C3" s="12">
        <v>353000.0</v>
      </c>
      <c r="D3" s="13">
        <v>253500.0</v>
      </c>
      <c r="E3" s="21">
        <v>111700.0</v>
      </c>
      <c r="F3" s="14">
        <f t="array" ref="F3">B3-C3-E3</f>
        <v>141800</v>
      </c>
      <c r="G3" s="4"/>
      <c r="H3" s="4"/>
      <c r="I3" s="4"/>
      <c r="J3" s="4"/>
      <c r="K3" s="4"/>
      <c r="L3" s="4"/>
      <c r="M3" s="4"/>
      <c r="N3" s="4"/>
      <c r="O3" s="4"/>
      <c r="P3" s="4"/>
      <c r="Q3" s="4"/>
      <c r="R3" s="4"/>
      <c r="S3" s="4"/>
      <c r="T3" s="4"/>
      <c r="U3" s="4"/>
      <c r="V3" s="4"/>
      <c r="W3" s="4"/>
      <c r="X3" s="4"/>
      <c r="Y3" s="4"/>
      <c r="Z3" s="4"/>
    </row>
    <row r="4" ht="19.5" customHeight="1">
      <c r="A4" s="15">
        <v>2.0</v>
      </c>
      <c r="B4" s="16">
        <v>0.0</v>
      </c>
      <c r="C4" s="17">
        <v>0.0</v>
      </c>
      <c r="D4" s="18">
        <f t="array" ref="D4">B4-C4</f>
        <v>0</v>
      </c>
      <c r="E4" s="17">
        <v>0.0</v>
      </c>
      <c r="F4" s="19">
        <f t="array" ref="F4">B4-C4-E4</f>
        <v>0</v>
      </c>
      <c r="G4" s="4"/>
      <c r="H4" s="4"/>
      <c r="I4" s="4"/>
      <c r="J4" s="4"/>
      <c r="K4" s="4"/>
      <c r="L4" s="4"/>
      <c r="M4" s="4"/>
      <c r="N4" s="4"/>
      <c r="O4" s="4"/>
      <c r="P4" s="4"/>
      <c r="Q4" s="4"/>
      <c r="R4" s="4"/>
      <c r="S4" s="4"/>
      <c r="T4" s="4"/>
      <c r="U4" s="4"/>
      <c r="V4" s="4"/>
      <c r="W4" s="4"/>
      <c r="X4" s="4"/>
      <c r="Y4" s="4"/>
      <c r="Z4" s="4"/>
    </row>
    <row r="5" ht="19.5" customHeight="1">
      <c r="A5" s="15">
        <v>3.0</v>
      </c>
      <c r="B5" s="16">
        <v>0.0</v>
      </c>
      <c r="C5" s="17">
        <v>0.0</v>
      </c>
      <c r="D5" s="18">
        <f t="array" ref="D5">B5-C5</f>
        <v>0</v>
      </c>
      <c r="E5" s="17">
        <v>0.0</v>
      </c>
      <c r="F5" s="19">
        <f t="array" ref="F5">B5-C5-E5</f>
        <v>0</v>
      </c>
      <c r="G5" s="4"/>
      <c r="H5" s="4"/>
      <c r="I5" s="4"/>
      <c r="J5" s="4"/>
      <c r="K5" s="4"/>
      <c r="L5" s="4"/>
      <c r="M5" s="4"/>
      <c r="N5" s="4"/>
      <c r="O5" s="4"/>
      <c r="P5" s="4"/>
      <c r="Q5" s="4"/>
      <c r="R5" s="4"/>
      <c r="S5" s="4"/>
      <c r="T5" s="4"/>
      <c r="U5" s="4"/>
      <c r="V5" s="4"/>
      <c r="W5" s="4"/>
      <c r="X5" s="4"/>
      <c r="Y5" s="4"/>
      <c r="Z5" s="4"/>
    </row>
    <row r="6" ht="19.5" customHeight="1">
      <c r="A6" s="15">
        <v>4.0</v>
      </c>
      <c r="B6" s="16">
        <v>961500.0</v>
      </c>
      <c r="C6" s="17">
        <v>587000.0</v>
      </c>
      <c r="D6" s="18">
        <f t="array" ref="D6">B6-C6</f>
        <v>374500</v>
      </c>
      <c r="E6" s="20">
        <v>80000.0</v>
      </c>
      <c r="F6" s="19">
        <f t="array" ref="F6">B6-C6-E6</f>
        <v>294500</v>
      </c>
      <c r="G6" s="4"/>
      <c r="H6" s="4"/>
      <c r="I6" s="4"/>
      <c r="J6" s="4"/>
      <c r="K6" s="4"/>
      <c r="L6" s="4"/>
      <c r="M6" s="4"/>
      <c r="N6" s="4"/>
      <c r="O6" s="4"/>
      <c r="P6" s="4"/>
      <c r="Q6" s="4"/>
      <c r="R6" s="4"/>
      <c r="S6" s="4"/>
      <c r="T6" s="4"/>
      <c r="U6" s="4"/>
      <c r="V6" s="4"/>
      <c r="W6" s="4"/>
      <c r="X6" s="4"/>
      <c r="Y6" s="4"/>
      <c r="Z6" s="4"/>
    </row>
    <row r="7" ht="19.5" customHeight="1">
      <c r="A7" s="15">
        <v>5.0</v>
      </c>
      <c r="B7" s="16">
        <v>0.0</v>
      </c>
      <c r="C7" s="17">
        <v>0.0</v>
      </c>
      <c r="D7" s="18">
        <f t="array" ref="D7">B7-C7</f>
        <v>0</v>
      </c>
      <c r="E7" s="22">
        <v>1300000.0</v>
      </c>
      <c r="F7" s="23">
        <f>B7-C7-E7</f>
        <v>-1300000</v>
      </c>
      <c r="G7" s="4"/>
      <c r="H7" s="4"/>
      <c r="I7" s="4"/>
      <c r="J7" s="4"/>
      <c r="K7" s="4"/>
      <c r="L7" s="4"/>
      <c r="M7" s="4"/>
      <c r="N7" s="4"/>
      <c r="O7" s="4"/>
      <c r="P7" s="4"/>
      <c r="Q7" s="4"/>
      <c r="R7" s="4"/>
      <c r="S7" s="4"/>
      <c r="T7" s="4"/>
      <c r="U7" s="4"/>
      <c r="V7" s="4"/>
      <c r="W7" s="4"/>
      <c r="X7" s="4"/>
      <c r="Y7" s="4"/>
      <c r="Z7" s="4"/>
    </row>
    <row r="8" ht="19.5" customHeight="1">
      <c r="A8" s="15">
        <v>6.0</v>
      </c>
      <c r="B8" s="16">
        <v>0.0</v>
      </c>
      <c r="C8" s="17">
        <v>0.0</v>
      </c>
      <c r="D8" s="18">
        <f t="array" ref="D8">B8-C8</f>
        <v>0</v>
      </c>
      <c r="E8" s="20"/>
      <c r="F8" s="19">
        <f t="array" ref="F8">B8-C8-E8</f>
        <v>0</v>
      </c>
      <c r="G8" s="4"/>
      <c r="H8" s="4"/>
      <c r="I8" s="4"/>
      <c r="J8" s="4"/>
      <c r="K8" s="4"/>
      <c r="L8" s="4"/>
      <c r="M8" s="4"/>
      <c r="N8" s="4"/>
      <c r="O8" s="4"/>
      <c r="P8" s="4"/>
      <c r="Q8" s="4"/>
      <c r="R8" s="4"/>
      <c r="S8" s="4"/>
      <c r="T8" s="4"/>
      <c r="U8" s="4"/>
      <c r="V8" s="4"/>
      <c r="W8" s="4"/>
      <c r="X8" s="4"/>
      <c r="Y8" s="4"/>
      <c r="Z8" s="4"/>
    </row>
    <row r="9" ht="19.5" customHeight="1">
      <c r="A9" s="15">
        <v>7.0</v>
      </c>
      <c r="B9" s="16">
        <v>595000.0</v>
      </c>
      <c r="C9" s="17">
        <v>372000.0</v>
      </c>
      <c r="D9" s="18">
        <f t="array" ref="D9">B9-C9</f>
        <v>223000</v>
      </c>
      <c r="E9" s="20">
        <v>157000.0</v>
      </c>
      <c r="F9" s="19">
        <f t="array" ref="F9">B9-C9-E9</f>
        <v>66000</v>
      </c>
      <c r="G9" s="4"/>
      <c r="H9" s="4"/>
      <c r="I9" s="4"/>
      <c r="J9" s="4"/>
      <c r="K9" s="4"/>
      <c r="L9" s="4"/>
      <c r="M9" s="4"/>
      <c r="N9" s="4"/>
      <c r="O9" s="4"/>
      <c r="P9" s="4"/>
      <c r="Q9" s="4"/>
      <c r="R9" s="4"/>
      <c r="S9" s="4"/>
      <c r="T9" s="4"/>
      <c r="U9" s="4"/>
      <c r="V9" s="4"/>
      <c r="W9" s="4"/>
      <c r="X9" s="4"/>
      <c r="Y9" s="4"/>
      <c r="Z9" s="4"/>
    </row>
    <row r="10" ht="19.5" customHeight="1">
      <c r="A10" s="15">
        <v>8.0</v>
      </c>
      <c r="B10" s="24">
        <v>265000.0</v>
      </c>
      <c r="C10" s="17">
        <v>172000.0</v>
      </c>
      <c r="D10" s="18">
        <f t="array" ref="D10">B10-C10</f>
        <v>93000</v>
      </c>
      <c r="E10" s="20">
        <v>218200.0</v>
      </c>
      <c r="F10" s="19">
        <f t="array" ref="F10">B10-C10-E10</f>
        <v>-125200</v>
      </c>
      <c r="G10" s="4"/>
      <c r="H10" s="4"/>
      <c r="I10" s="4"/>
      <c r="J10" s="4"/>
      <c r="K10" s="4"/>
      <c r="L10" s="4"/>
      <c r="M10" s="4"/>
      <c r="N10" s="4"/>
      <c r="O10" s="4"/>
      <c r="P10" s="4"/>
      <c r="Q10" s="4"/>
      <c r="R10" s="4"/>
      <c r="S10" s="4"/>
      <c r="T10" s="4"/>
      <c r="U10" s="4"/>
      <c r="V10" s="4"/>
      <c r="W10" s="4"/>
      <c r="X10" s="4"/>
      <c r="Y10" s="4"/>
      <c r="Z10" s="4"/>
    </row>
    <row r="11" ht="19.5" customHeight="1">
      <c r="A11" s="15">
        <v>9.0</v>
      </c>
      <c r="B11" s="24">
        <v>523750.0</v>
      </c>
      <c r="C11" s="17">
        <v>305000.0</v>
      </c>
      <c r="D11" s="18">
        <f t="array" ref="D11">B11-C11</f>
        <v>218750</v>
      </c>
      <c r="E11" s="20">
        <v>124730.0</v>
      </c>
      <c r="F11" s="19">
        <f t="array" ref="F11">B11-C11-E11</f>
        <v>94020</v>
      </c>
      <c r="G11" s="4"/>
      <c r="H11" s="4"/>
      <c r="I11" s="4"/>
      <c r="J11" s="4"/>
      <c r="K11" s="4"/>
      <c r="L11" s="4"/>
      <c r="M11" s="4"/>
      <c r="N11" s="4"/>
      <c r="O11" s="4"/>
      <c r="P11" s="4"/>
      <c r="Q11" s="4"/>
      <c r="R11" s="4"/>
      <c r="S11" s="4"/>
      <c r="T11" s="4"/>
      <c r="U11" s="4"/>
      <c r="V11" s="4"/>
      <c r="W11" s="4"/>
      <c r="X11" s="4"/>
      <c r="Y11" s="4"/>
      <c r="Z11" s="4"/>
    </row>
    <row r="12" ht="19.5" customHeight="1">
      <c r="A12" s="15">
        <v>10.0</v>
      </c>
      <c r="B12" s="16">
        <v>141750.0</v>
      </c>
      <c r="C12" s="17">
        <v>74250.0</v>
      </c>
      <c r="D12" s="18">
        <f t="array" ref="D12">B12-C12</f>
        <v>67500</v>
      </c>
      <c r="E12" s="20">
        <v>80000.0</v>
      </c>
      <c r="F12" s="19">
        <f t="array" ref="F12">B12-C12-E12</f>
        <v>-12500</v>
      </c>
      <c r="G12" s="4"/>
      <c r="H12" s="4"/>
      <c r="I12" s="4"/>
      <c r="J12" s="4"/>
      <c r="K12" s="4"/>
      <c r="L12" s="4"/>
      <c r="M12" s="4"/>
      <c r="N12" s="4"/>
      <c r="O12" s="4"/>
      <c r="P12" s="4"/>
      <c r="Q12" s="4"/>
      <c r="R12" s="4"/>
      <c r="S12" s="4"/>
      <c r="T12" s="4"/>
      <c r="U12" s="4"/>
      <c r="V12" s="4"/>
      <c r="W12" s="4"/>
      <c r="X12" s="4"/>
      <c r="Y12" s="4"/>
      <c r="Z12" s="4"/>
    </row>
    <row r="13" ht="19.5" customHeight="1">
      <c r="A13" s="15">
        <v>11.0</v>
      </c>
      <c r="B13" s="16">
        <v>1264150.0</v>
      </c>
      <c r="C13" s="17">
        <v>726235.0</v>
      </c>
      <c r="D13" s="18">
        <f t="array" ref="D13">B13-C13</f>
        <v>537915</v>
      </c>
      <c r="E13" s="17">
        <v>100000.0</v>
      </c>
      <c r="F13" s="19">
        <f t="array" ref="F13">B13-C13-E13</f>
        <v>437915</v>
      </c>
      <c r="G13" s="4"/>
      <c r="H13" s="4"/>
      <c r="I13" s="4"/>
      <c r="J13" s="4"/>
      <c r="K13" s="4"/>
      <c r="L13" s="4"/>
      <c r="M13" s="4"/>
      <c r="N13" s="4"/>
      <c r="O13" s="4"/>
      <c r="P13" s="4"/>
      <c r="Q13" s="4"/>
      <c r="R13" s="4"/>
      <c r="S13" s="4"/>
      <c r="T13" s="4"/>
      <c r="U13" s="4"/>
      <c r="V13" s="4"/>
      <c r="W13" s="4"/>
      <c r="X13" s="4"/>
      <c r="Y13" s="4"/>
      <c r="Z13" s="4"/>
    </row>
    <row r="14" ht="19.5" customHeight="1">
      <c r="A14" s="15">
        <v>12.0</v>
      </c>
      <c r="B14" s="16">
        <v>393750.0</v>
      </c>
      <c r="C14" s="17">
        <v>225000.0</v>
      </c>
      <c r="D14" s="18">
        <f t="array" ref="D14">B14-C14</f>
        <v>168750</v>
      </c>
      <c r="E14" s="17">
        <v>70000.0</v>
      </c>
      <c r="F14" s="19">
        <f t="array" ref="F14">B14-C14-E14</f>
        <v>98750</v>
      </c>
      <c r="G14" s="4"/>
      <c r="H14" s="4"/>
      <c r="I14" s="4"/>
      <c r="J14" s="4"/>
      <c r="K14" s="4"/>
      <c r="L14" s="4"/>
      <c r="M14" s="4"/>
      <c r="N14" s="4"/>
      <c r="O14" s="4"/>
      <c r="P14" s="4"/>
      <c r="Q14" s="4"/>
      <c r="R14" s="4"/>
      <c r="S14" s="4"/>
      <c r="T14" s="4"/>
      <c r="U14" s="4"/>
      <c r="V14" s="4"/>
      <c r="W14" s="4"/>
      <c r="X14" s="4"/>
      <c r="Y14" s="4"/>
      <c r="Z14" s="4"/>
    </row>
    <row r="15" ht="19.5" customHeight="1">
      <c r="A15" s="15">
        <v>13.0</v>
      </c>
      <c r="B15" s="16">
        <v>0.0</v>
      </c>
      <c r="C15" s="17">
        <v>0.0</v>
      </c>
      <c r="D15" s="18">
        <f t="array" ref="D15">B15-C15</f>
        <v>0</v>
      </c>
      <c r="E15" s="17">
        <v>0.0</v>
      </c>
      <c r="F15" s="19">
        <f t="array" ref="F15">B15-C15-E15</f>
        <v>0</v>
      </c>
      <c r="G15" s="4"/>
      <c r="H15" s="4"/>
      <c r="I15" s="4"/>
      <c r="J15" s="4"/>
      <c r="K15" s="4"/>
      <c r="L15" s="4"/>
      <c r="M15" s="4"/>
      <c r="N15" s="4"/>
      <c r="O15" s="4"/>
      <c r="P15" s="4"/>
      <c r="Q15" s="4"/>
      <c r="R15" s="4"/>
      <c r="S15" s="4"/>
      <c r="T15" s="4"/>
      <c r="U15" s="4"/>
      <c r="V15" s="4"/>
      <c r="W15" s="4"/>
      <c r="X15" s="4"/>
      <c r="Y15" s="4"/>
      <c r="Z15" s="4"/>
    </row>
    <row r="16" ht="19.5" customHeight="1">
      <c r="A16" s="15">
        <v>14.0</v>
      </c>
      <c r="B16" s="16">
        <v>867500.0</v>
      </c>
      <c r="C16" s="17">
        <v>488000.0</v>
      </c>
      <c r="D16" s="18">
        <f t="array" ref="D16">B16-C16</f>
        <v>379500</v>
      </c>
      <c r="E16" s="20">
        <v>104950.0</v>
      </c>
      <c r="F16" s="19">
        <f t="array" ref="F16">B16-C16-E16</f>
        <v>274550</v>
      </c>
      <c r="G16" s="4"/>
      <c r="H16" s="4"/>
      <c r="I16" s="4"/>
      <c r="J16" s="4"/>
      <c r="K16" s="4"/>
      <c r="L16" s="4"/>
      <c r="M16" s="4"/>
      <c r="N16" s="4"/>
      <c r="O16" s="4"/>
      <c r="P16" s="4"/>
      <c r="Q16" s="4"/>
      <c r="R16" s="4"/>
      <c r="S16" s="4"/>
      <c r="T16" s="4"/>
      <c r="U16" s="4"/>
      <c r="V16" s="4"/>
      <c r="W16" s="4"/>
      <c r="X16" s="4"/>
      <c r="Y16" s="4"/>
      <c r="Z16" s="4"/>
    </row>
    <row r="17" ht="19.5" customHeight="1">
      <c r="A17" s="15">
        <v>15.0</v>
      </c>
      <c r="B17" s="16">
        <v>0.0</v>
      </c>
      <c r="C17" s="17">
        <v>0.0</v>
      </c>
      <c r="D17" s="18">
        <f t="array" ref="D17">B17-C17</f>
        <v>0</v>
      </c>
      <c r="E17" s="20">
        <v>138002.0</v>
      </c>
      <c r="F17" s="19">
        <f t="array" ref="F17">B17-C17-E17</f>
        <v>-138002</v>
      </c>
      <c r="G17" s="4"/>
      <c r="H17" s="4"/>
      <c r="I17" s="4"/>
      <c r="J17" s="4"/>
      <c r="K17" s="4"/>
      <c r="L17" s="4"/>
      <c r="M17" s="4"/>
      <c r="N17" s="4"/>
      <c r="O17" s="4"/>
      <c r="P17" s="4"/>
      <c r="Q17" s="4"/>
      <c r="R17" s="4"/>
      <c r="S17" s="4"/>
      <c r="T17" s="4"/>
      <c r="U17" s="4"/>
      <c r="V17" s="4"/>
      <c r="W17" s="4"/>
      <c r="X17" s="4"/>
      <c r="Y17" s="4"/>
      <c r="Z17" s="4"/>
    </row>
    <row r="18" ht="19.5" customHeight="1">
      <c r="A18" s="15">
        <v>16.0</v>
      </c>
      <c r="B18" s="16">
        <v>176500.0</v>
      </c>
      <c r="C18" s="17">
        <v>101000.0</v>
      </c>
      <c r="D18" s="18">
        <f t="array" ref="D18">B18-C18</f>
        <v>75500</v>
      </c>
      <c r="E18" s="20">
        <v>180000.0</v>
      </c>
      <c r="F18" s="19">
        <f t="array" ref="F18">B18-C18-E18</f>
        <v>-104500</v>
      </c>
      <c r="G18" s="4"/>
      <c r="H18" s="4"/>
      <c r="I18" s="4"/>
      <c r="J18" s="4"/>
      <c r="K18" s="4"/>
      <c r="L18" s="4"/>
      <c r="M18" s="4"/>
      <c r="N18" s="4"/>
      <c r="O18" s="4"/>
      <c r="P18" s="4"/>
      <c r="Q18" s="4"/>
      <c r="R18" s="4"/>
      <c r="S18" s="4"/>
      <c r="T18" s="4"/>
      <c r="U18" s="4"/>
      <c r="V18" s="4"/>
      <c r="W18" s="4"/>
      <c r="X18" s="4"/>
      <c r="Y18" s="4"/>
      <c r="Z18" s="4"/>
    </row>
    <row r="19" ht="19.5" customHeight="1">
      <c r="A19" s="15">
        <v>17.0</v>
      </c>
      <c r="B19" s="16">
        <v>420000.0</v>
      </c>
      <c r="C19" s="17">
        <v>240000.0</v>
      </c>
      <c r="D19" s="18">
        <f t="array" ref="D19">B19-C19</f>
        <v>180000</v>
      </c>
      <c r="E19" s="20">
        <v>80000.0</v>
      </c>
      <c r="F19" s="19">
        <f t="array" ref="F19">B19-C19-E19</f>
        <v>100000</v>
      </c>
      <c r="G19" s="4"/>
      <c r="H19" s="4"/>
      <c r="I19" s="4"/>
      <c r="J19" s="4"/>
      <c r="K19" s="4"/>
      <c r="L19" s="4"/>
      <c r="M19" s="4"/>
      <c r="N19" s="4"/>
      <c r="O19" s="4"/>
      <c r="P19" s="4"/>
      <c r="Q19" s="4"/>
      <c r="R19" s="4"/>
      <c r="S19" s="4"/>
      <c r="T19" s="4"/>
      <c r="U19" s="4"/>
      <c r="V19" s="4"/>
      <c r="W19" s="4"/>
      <c r="X19" s="4"/>
      <c r="Y19" s="4"/>
      <c r="Z19" s="4"/>
    </row>
    <row r="20" ht="19.5" customHeight="1">
      <c r="A20" s="15">
        <v>18.0</v>
      </c>
      <c r="B20" s="16">
        <v>775920.0</v>
      </c>
      <c r="C20" s="17">
        <v>446070.0</v>
      </c>
      <c r="D20" s="18">
        <f t="array" ref="D20">B20-C20</f>
        <v>329850</v>
      </c>
      <c r="E20" s="17">
        <v>85000.0</v>
      </c>
      <c r="F20" s="19">
        <f t="array" ref="F20">B20-C20-E20</f>
        <v>244850</v>
      </c>
      <c r="G20" s="4"/>
      <c r="H20" s="4"/>
      <c r="I20" s="4"/>
      <c r="J20" s="4"/>
      <c r="K20" s="4"/>
      <c r="L20" s="4"/>
      <c r="M20" s="4"/>
      <c r="N20" s="4"/>
      <c r="O20" s="4"/>
      <c r="P20" s="4"/>
      <c r="Q20" s="4"/>
      <c r="R20" s="4"/>
      <c r="S20" s="4"/>
      <c r="T20" s="4"/>
      <c r="U20" s="4"/>
      <c r="V20" s="4"/>
      <c r="W20" s="4"/>
      <c r="X20" s="4"/>
      <c r="Y20" s="4"/>
      <c r="Z20" s="4"/>
    </row>
    <row r="21" ht="19.5" customHeight="1">
      <c r="A21" s="15">
        <v>19.0</v>
      </c>
      <c r="B21" s="16">
        <v>245400.0</v>
      </c>
      <c r="C21" s="17">
        <v>143588.0</v>
      </c>
      <c r="D21" s="18">
        <f t="array" ref="D21">B21-C21</f>
        <v>101812</v>
      </c>
      <c r="E21" s="17">
        <v>85000.0</v>
      </c>
      <c r="F21" s="19">
        <f t="array" ref="F21">B21-C21-E21</f>
        <v>16812</v>
      </c>
      <c r="G21" s="4"/>
      <c r="H21" s="4"/>
      <c r="I21" s="4"/>
      <c r="J21" s="4"/>
      <c r="K21" s="4"/>
      <c r="L21" s="4"/>
      <c r="M21" s="4"/>
      <c r="N21" s="4"/>
      <c r="O21" s="4"/>
      <c r="P21" s="4"/>
      <c r="Q21" s="4"/>
      <c r="R21" s="4"/>
      <c r="S21" s="4"/>
      <c r="T21" s="4"/>
      <c r="U21" s="4"/>
      <c r="V21" s="4"/>
      <c r="W21" s="4"/>
      <c r="X21" s="4"/>
      <c r="Y21" s="4"/>
      <c r="Z21" s="4"/>
    </row>
    <row r="22" ht="19.5" customHeight="1">
      <c r="A22" s="15">
        <v>20.0</v>
      </c>
      <c r="B22" s="16">
        <v>0.0</v>
      </c>
      <c r="C22" s="17">
        <v>0.0</v>
      </c>
      <c r="D22" s="18">
        <f t="array" ref="D22">B22-C22</f>
        <v>0</v>
      </c>
      <c r="E22" s="17">
        <v>0.0</v>
      </c>
      <c r="F22" s="19">
        <f t="array" ref="F22">B22-C22-E22</f>
        <v>0</v>
      </c>
      <c r="G22" s="4"/>
      <c r="H22" s="4"/>
      <c r="I22" s="4"/>
      <c r="J22" s="4"/>
      <c r="K22" s="4"/>
      <c r="L22" s="4"/>
      <c r="M22" s="4"/>
      <c r="N22" s="4"/>
      <c r="O22" s="4"/>
      <c r="P22" s="4"/>
      <c r="Q22" s="4"/>
      <c r="R22" s="4"/>
      <c r="S22" s="4"/>
      <c r="T22" s="4"/>
      <c r="U22" s="4"/>
      <c r="V22" s="4"/>
      <c r="W22" s="4"/>
      <c r="X22" s="4"/>
      <c r="Y22" s="4"/>
      <c r="Z22" s="4"/>
    </row>
    <row r="23" ht="19.5" customHeight="1">
      <c r="A23" s="15">
        <v>21.0</v>
      </c>
      <c r="B23" s="16">
        <v>621250.0</v>
      </c>
      <c r="C23" s="17">
        <v>365000.0</v>
      </c>
      <c r="D23" s="18">
        <f t="array" ref="D23">B23-C23</f>
        <v>256250</v>
      </c>
      <c r="E23" s="20">
        <v>80000.0</v>
      </c>
      <c r="F23" s="19">
        <f t="array" ref="F23">B23-C23-E23</f>
        <v>176250</v>
      </c>
      <c r="G23" s="4"/>
      <c r="H23" s="4"/>
      <c r="I23" s="4"/>
      <c r="J23" s="4"/>
      <c r="K23" s="4"/>
      <c r="L23" s="4"/>
      <c r="M23" s="4"/>
      <c r="N23" s="4"/>
      <c r="O23" s="4"/>
      <c r="P23" s="4"/>
      <c r="Q23" s="4"/>
      <c r="R23" s="4"/>
      <c r="S23" s="4"/>
      <c r="T23" s="4"/>
      <c r="U23" s="4"/>
      <c r="V23" s="4"/>
      <c r="W23" s="4"/>
      <c r="X23" s="4"/>
      <c r="Y23" s="4"/>
      <c r="Z23" s="4"/>
    </row>
    <row r="24" ht="19.5" customHeight="1">
      <c r="A24" s="15">
        <v>22.0</v>
      </c>
      <c r="B24" s="16">
        <v>425000.0</v>
      </c>
      <c r="C24" s="17">
        <v>262500.0</v>
      </c>
      <c r="D24" s="18">
        <f t="array" ref="D24">B24-C24</f>
        <v>162500</v>
      </c>
      <c r="E24" s="17">
        <v>70000.0</v>
      </c>
      <c r="F24" s="19">
        <f t="array" ref="F24">B24-C24-E24</f>
        <v>92500</v>
      </c>
      <c r="G24" s="4"/>
      <c r="H24" s="4"/>
      <c r="I24" s="4"/>
      <c r="J24" s="4"/>
      <c r="K24" s="4"/>
      <c r="L24" s="4"/>
      <c r="M24" s="4"/>
      <c r="N24" s="4"/>
      <c r="O24" s="4"/>
      <c r="P24" s="4"/>
      <c r="Q24" s="4"/>
      <c r="R24" s="4"/>
      <c r="S24" s="4"/>
      <c r="T24" s="4"/>
      <c r="U24" s="4"/>
      <c r="V24" s="4"/>
      <c r="W24" s="4"/>
      <c r="X24" s="4"/>
      <c r="Y24" s="4"/>
      <c r="Z24" s="4"/>
    </row>
    <row r="25" ht="19.5" customHeight="1">
      <c r="A25" s="15">
        <v>23.0</v>
      </c>
      <c r="B25" s="16">
        <v>425250.0</v>
      </c>
      <c r="C25" s="17">
        <v>243000.0</v>
      </c>
      <c r="D25" s="18">
        <f t="array" ref="D25">B25-C25</f>
        <v>182250</v>
      </c>
      <c r="E25" s="17">
        <v>80000.0</v>
      </c>
      <c r="F25" s="19">
        <f t="array" ref="F25">B25-C25-E25</f>
        <v>102250</v>
      </c>
      <c r="G25" s="4"/>
      <c r="H25" s="4"/>
      <c r="I25" s="4"/>
      <c r="J25" s="4"/>
      <c r="K25" s="4"/>
      <c r="L25" s="4"/>
      <c r="M25" s="4"/>
      <c r="N25" s="4"/>
      <c r="O25" s="4"/>
      <c r="P25" s="4"/>
      <c r="Q25" s="4"/>
      <c r="R25" s="4"/>
      <c r="S25" s="4"/>
      <c r="T25" s="4"/>
      <c r="U25" s="4"/>
      <c r="V25" s="4"/>
      <c r="W25" s="4"/>
      <c r="X25" s="4"/>
      <c r="Y25" s="4"/>
      <c r="Z25" s="4"/>
    </row>
    <row r="26" ht="19.5" customHeight="1">
      <c r="A26" s="15">
        <v>24.0</v>
      </c>
      <c r="B26" s="16">
        <v>484750.0</v>
      </c>
      <c r="C26" s="17">
        <v>277000.0</v>
      </c>
      <c r="D26" s="18">
        <f t="array" ref="D26">B26-C26</f>
        <v>207750</v>
      </c>
      <c r="E26" s="20">
        <v>80000.0</v>
      </c>
      <c r="F26" s="19">
        <f t="array" ref="F26">B26-C26-E26</f>
        <v>127750</v>
      </c>
      <c r="G26" s="4"/>
      <c r="H26" s="4"/>
      <c r="I26" s="4"/>
      <c r="J26" s="4"/>
      <c r="K26" s="4"/>
      <c r="L26" s="4"/>
      <c r="M26" s="4"/>
      <c r="N26" s="4"/>
      <c r="O26" s="4"/>
      <c r="P26" s="4"/>
      <c r="Q26" s="4"/>
      <c r="R26" s="4"/>
      <c r="S26" s="4"/>
      <c r="T26" s="4"/>
      <c r="U26" s="4"/>
      <c r="V26" s="4"/>
      <c r="W26" s="4"/>
      <c r="X26" s="4"/>
      <c r="Y26" s="4"/>
      <c r="Z26" s="4"/>
    </row>
    <row r="27" ht="19.5" customHeight="1">
      <c r="A27" s="15">
        <v>25.0</v>
      </c>
      <c r="B27" s="16">
        <v>2237050.0</v>
      </c>
      <c r="C27" s="17">
        <v>1282571.0</v>
      </c>
      <c r="D27" s="18">
        <f t="array" ref="D27">B27-C27</f>
        <v>954479</v>
      </c>
      <c r="E27" s="20">
        <v>95000.0</v>
      </c>
      <c r="F27" s="19">
        <f t="array" ref="F27">B27-C27-E27</f>
        <v>859479</v>
      </c>
      <c r="G27" s="4"/>
      <c r="H27" s="4"/>
      <c r="I27" s="4"/>
      <c r="J27" s="4"/>
      <c r="K27" s="4"/>
      <c r="L27" s="4"/>
      <c r="M27" s="4"/>
      <c r="N27" s="4"/>
      <c r="O27" s="4"/>
      <c r="P27" s="4"/>
      <c r="Q27" s="4"/>
      <c r="R27" s="4"/>
      <c r="S27" s="4"/>
      <c r="T27" s="4"/>
      <c r="U27" s="4"/>
      <c r="V27" s="4"/>
      <c r="W27" s="4"/>
      <c r="X27" s="4"/>
      <c r="Y27" s="4"/>
      <c r="Z27" s="4"/>
    </row>
    <row r="28" ht="19.5" customHeight="1">
      <c r="A28" s="15">
        <v>26.0</v>
      </c>
      <c r="B28" s="16">
        <v>866250.0</v>
      </c>
      <c r="C28" s="17">
        <v>495000.0</v>
      </c>
      <c r="D28" s="18">
        <f t="array" ref="D28">B28-C28</f>
        <v>371250</v>
      </c>
      <c r="E28" s="20">
        <v>213141.0</v>
      </c>
      <c r="F28" s="19">
        <f t="array" ref="F28">B28-C28-E28</f>
        <v>158109</v>
      </c>
      <c r="G28" s="4"/>
      <c r="H28" s="4"/>
      <c r="I28" s="4"/>
      <c r="J28" s="4"/>
      <c r="K28" s="4"/>
      <c r="L28" s="4"/>
      <c r="M28" s="4"/>
      <c r="N28" s="4"/>
      <c r="O28" s="4"/>
      <c r="P28" s="4"/>
      <c r="Q28" s="4"/>
      <c r="R28" s="4"/>
      <c r="S28" s="4"/>
      <c r="T28" s="4"/>
      <c r="U28" s="4"/>
      <c r="V28" s="4"/>
      <c r="W28" s="4"/>
      <c r="X28" s="4"/>
      <c r="Y28" s="4"/>
      <c r="Z28" s="4"/>
    </row>
    <row r="29" ht="19.5" customHeight="1">
      <c r="A29" s="15">
        <v>27.0</v>
      </c>
      <c r="B29" s="16">
        <v>0.0</v>
      </c>
      <c r="C29" s="17">
        <v>0.0</v>
      </c>
      <c r="D29" s="18">
        <f t="array" ref="D29">B29-C29</f>
        <v>0</v>
      </c>
      <c r="E29" s="20"/>
      <c r="F29" s="19">
        <f t="array" ref="F29">B29-C29-E29</f>
        <v>0</v>
      </c>
      <c r="G29" s="4"/>
      <c r="H29" s="4"/>
      <c r="I29" s="4"/>
      <c r="J29" s="4"/>
      <c r="K29" s="4"/>
      <c r="L29" s="4"/>
      <c r="M29" s="4"/>
      <c r="N29" s="4"/>
      <c r="O29" s="4"/>
      <c r="P29" s="4"/>
      <c r="Q29" s="4"/>
      <c r="R29" s="4"/>
      <c r="S29" s="4"/>
      <c r="T29" s="4"/>
      <c r="U29" s="4"/>
      <c r="V29" s="4"/>
      <c r="W29" s="4"/>
      <c r="X29" s="4"/>
      <c r="Y29" s="4"/>
      <c r="Z29" s="4"/>
    </row>
    <row r="30" ht="19.5" customHeight="1">
      <c r="A30" s="15">
        <v>28.0</v>
      </c>
      <c r="B30" s="16">
        <v>547750.0</v>
      </c>
      <c r="C30" s="17">
        <v>313000.0</v>
      </c>
      <c r="D30" s="18">
        <f t="array" ref="D30">B30-C30</f>
        <v>234750</v>
      </c>
      <c r="E30" s="20">
        <v>80000.0</v>
      </c>
      <c r="F30" s="19">
        <f t="array" ref="F30">B30-C30-E30</f>
        <v>154750</v>
      </c>
      <c r="G30" s="4"/>
      <c r="H30" s="4"/>
      <c r="I30" s="4"/>
      <c r="J30" s="4"/>
      <c r="K30" s="4"/>
      <c r="L30" s="4"/>
      <c r="M30" s="4"/>
      <c r="N30" s="4"/>
      <c r="O30" s="4"/>
      <c r="P30" s="4"/>
      <c r="Q30" s="4"/>
      <c r="R30" s="4"/>
      <c r="S30" s="4"/>
      <c r="T30" s="4"/>
      <c r="U30" s="4"/>
      <c r="V30" s="4"/>
      <c r="W30" s="4"/>
      <c r="X30" s="4"/>
      <c r="Y30" s="4"/>
      <c r="Z30" s="4"/>
    </row>
    <row r="31" ht="19.5" customHeight="1">
      <c r="A31" s="15">
        <v>29.0</v>
      </c>
      <c r="B31" s="16">
        <v>0.0</v>
      </c>
      <c r="C31" s="17">
        <v>0.0</v>
      </c>
      <c r="D31" s="18">
        <f t="array" ref="D31">B31-C31</f>
        <v>0</v>
      </c>
      <c r="E31" s="17">
        <v>80000.0</v>
      </c>
      <c r="F31" s="19">
        <f t="array" ref="F31">B31-C31-E31</f>
        <v>-80000</v>
      </c>
      <c r="G31" s="4"/>
      <c r="H31" s="4"/>
      <c r="I31" s="4"/>
      <c r="J31" s="4"/>
      <c r="K31" s="4"/>
      <c r="L31" s="4"/>
      <c r="M31" s="4"/>
      <c r="N31" s="4"/>
      <c r="O31" s="4"/>
      <c r="P31" s="4"/>
      <c r="Q31" s="4"/>
      <c r="R31" s="4"/>
      <c r="S31" s="4"/>
      <c r="T31" s="4"/>
      <c r="U31" s="4"/>
      <c r="V31" s="4"/>
      <c r="W31" s="4"/>
      <c r="X31" s="4"/>
      <c r="Y31" s="4"/>
      <c r="Z31" s="4"/>
    </row>
    <row r="32" ht="19.5" customHeight="1">
      <c r="A32" s="15">
        <v>30.0</v>
      </c>
      <c r="B32" s="16">
        <v>101500.0</v>
      </c>
      <c r="C32" s="17">
        <v>58000.0</v>
      </c>
      <c r="D32" s="18">
        <f t="array" ref="D32">B32-C32</f>
        <v>43500</v>
      </c>
      <c r="E32" s="17">
        <v>0.0</v>
      </c>
      <c r="F32" s="19">
        <f t="array" ref="F32">B32-C32-E32</f>
        <v>43500</v>
      </c>
      <c r="G32" s="4"/>
      <c r="H32" s="4"/>
      <c r="I32" s="4"/>
      <c r="J32" s="4"/>
      <c r="K32" s="4"/>
      <c r="L32" s="4"/>
      <c r="M32" s="4"/>
      <c r="N32" s="4"/>
      <c r="O32" s="4"/>
      <c r="P32" s="4"/>
      <c r="Q32" s="4"/>
      <c r="R32" s="4"/>
      <c r="S32" s="4"/>
      <c r="T32" s="4"/>
      <c r="U32" s="4"/>
      <c r="V32" s="4"/>
      <c r="W32" s="4"/>
      <c r="X32" s="4"/>
      <c r="Y32" s="4"/>
      <c r="Z32" s="4"/>
    </row>
    <row r="33" ht="19.5" customHeight="1">
      <c r="A33" s="15">
        <v>31.0</v>
      </c>
      <c r="B33" s="16">
        <v>0.0</v>
      </c>
      <c r="C33" s="17">
        <v>0.0</v>
      </c>
      <c r="D33" s="18">
        <f t="array" ref="D33">B33-C33</f>
        <v>0</v>
      </c>
      <c r="E33" s="20"/>
      <c r="F33" s="19">
        <f t="array" ref="F33">B33-C33-E33</f>
        <v>0</v>
      </c>
      <c r="G33" s="4"/>
      <c r="H33" s="4"/>
      <c r="I33" s="4"/>
      <c r="J33" s="4"/>
      <c r="K33" s="4"/>
      <c r="L33" s="4"/>
      <c r="M33" s="4"/>
      <c r="N33" s="4"/>
      <c r="O33" s="4"/>
      <c r="P33" s="4"/>
      <c r="Q33" s="4"/>
      <c r="R33" s="4"/>
      <c r="S33" s="4"/>
      <c r="T33" s="4"/>
      <c r="U33" s="4"/>
      <c r="V33" s="4"/>
      <c r="W33" s="4"/>
      <c r="X33" s="4"/>
      <c r="Y33" s="4"/>
      <c r="Z33" s="4"/>
    </row>
    <row r="34" ht="25.5" customHeight="1">
      <c r="A34" s="25" t="s">
        <v>29</v>
      </c>
      <c r="B34" s="26">
        <f t="array" ref="B34">SUM(B3:B33)</f>
        <v>12945520</v>
      </c>
      <c r="C34" s="27">
        <f t="array" ref="C34">SUM(C3:C33)</f>
        <v>7529214</v>
      </c>
      <c r="D34" s="28">
        <f t="array" ref="D34">SUM(D3:D33)</f>
        <v>5416306</v>
      </c>
      <c r="E34" s="27">
        <f t="array" ref="E34">SUM(E3:E33)</f>
        <v>3692723</v>
      </c>
      <c r="F34" s="29">
        <f t="array" ref="F34">SUM(F3:F33)</f>
        <v>1723583</v>
      </c>
      <c r="G34" s="4"/>
      <c r="H34" s="4"/>
      <c r="I34" s="4"/>
      <c r="J34" s="4"/>
      <c r="K34" s="4"/>
      <c r="L34" s="4"/>
      <c r="M34" s="4"/>
      <c r="N34" s="4"/>
      <c r="O34" s="4"/>
      <c r="P34" s="4"/>
      <c r="Q34" s="4"/>
      <c r="R34" s="4"/>
      <c r="S34" s="4"/>
      <c r="T34" s="4"/>
      <c r="U34" s="4"/>
      <c r="V34" s="4"/>
      <c r="W34" s="4"/>
      <c r="X34" s="4"/>
      <c r="Y34" s="4"/>
      <c r="Z34" s="4"/>
    </row>
    <row r="35" ht="19.5" customHeight="1">
      <c r="A35" s="15"/>
      <c r="B35" s="30"/>
      <c r="C35" s="32" t="s">
        <v>31</v>
      </c>
      <c r="D35" s="17"/>
      <c r="E35" s="17"/>
      <c r="F35" s="17"/>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F1"/>
  </mergeCells>
  <printOptions/>
  <pageMargins bottom="1.0" footer="0.0" header="0.0" left="1.0" right="1.0" top="1.0"/>
  <pageSetup orientation="portrait"/>
  <headerFooter>
    <oddFooter>&amp;C000000&amp;P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29"/>
    <col customWidth="1" min="2" max="2" width="20.71"/>
    <col customWidth="1" min="3" max="3" width="20.0"/>
    <col customWidth="1" min="4" max="4" width="18.29"/>
    <col customWidth="1" min="5" max="5" width="18.43"/>
    <col customWidth="1" min="6" max="6" width="17.29"/>
    <col customWidth="1" min="7" max="26" width="16.29"/>
  </cols>
  <sheetData>
    <row r="1" ht="27.0" customHeight="1">
      <c r="A1" s="33" t="s">
        <v>1</v>
      </c>
      <c r="G1" s="4"/>
      <c r="H1" s="4"/>
      <c r="I1" s="4"/>
      <c r="J1" s="4"/>
      <c r="K1" s="4"/>
      <c r="L1" s="4"/>
      <c r="M1" s="4"/>
      <c r="N1" s="4"/>
      <c r="O1" s="4"/>
      <c r="P1" s="4"/>
      <c r="Q1" s="4"/>
      <c r="R1" s="4"/>
      <c r="S1" s="4"/>
      <c r="T1" s="4"/>
      <c r="U1" s="4"/>
      <c r="V1" s="4"/>
      <c r="W1" s="4"/>
      <c r="X1" s="4"/>
      <c r="Y1" s="4"/>
      <c r="Z1" s="4"/>
    </row>
    <row r="2" ht="47.25" customHeight="1">
      <c r="A2" s="34">
        <v>46143.0</v>
      </c>
      <c r="B2" s="8" t="s">
        <v>7</v>
      </c>
      <c r="C2" s="8" t="s">
        <v>8</v>
      </c>
      <c r="D2" s="8" t="s">
        <v>9</v>
      </c>
      <c r="E2" s="8" t="s">
        <v>10</v>
      </c>
      <c r="F2" s="8" t="s">
        <v>11</v>
      </c>
      <c r="G2" s="4"/>
      <c r="H2" s="4"/>
      <c r="I2" s="4"/>
      <c r="J2" s="4"/>
      <c r="K2" s="4"/>
      <c r="L2" s="4"/>
      <c r="M2" s="4"/>
      <c r="N2" s="4"/>
      <c r="O2" s="4"/>
      <c r="P2" s="4"/>
      <c r="Q2" s="4"/>
      <c r="R2" s="4"/>
      <c r="S2" s="4"/>
      <c r="T2" s="4"/>
      <c r="U2" s="4"/>
      <c r="V2" s="4"/>
      <c r="W2" s="4"/>
      <c r="X2" s="4"/>
      <c r="Y2" s="4"/>
      <c r="Z2" s="4"/>
    </row>
    <row r="3" ht="20.25" customHeight="1">
      <c r="A3" s="10">
        <v>1.0</v>
      </c>
      <c r="B3" s="11"/>
      <c r="C3" s="12"/>
      <c r="D3" s="13"/>
      <c r="E3" s="21">
        <v>0.0</v>
      </c>
      <c r="F3" s="14">
        <f t="array" ref="F3">B3-C3-E3</f>
        <v>0</v>
      </c>
      <c r="G3" s="4"/>
      <c r="H3" s="4"/>
      <c r="I3" s="4"/>
      <c r="J3" s="4"/>
      <c r="K3" s="4"/>
      <c r="L3" s="4"/>
      <c r="M3" s="4"/>
      <c r="N3" s="4"/>
      <c r="O3" s="4"/>
      <c r="P3" s="4"/>
      <c r="Q3" s="4"/>
      <c r="R3" s="4"/>
      <c r="S3" s="4"/>
      <c r="T3" s="4"/>
      <c r="U3" s="4"/>
      <c r="V3" s="4"/>
      <c r="W3" s="4"/>
      <c r="X3" s="4"/>
      <c r="Y3" s="4"/>
      <c r="Z3" s="4"/>
    </row>
    <row r="4" ht="19.5" customHeight="1">
      <c r="A4" s="15">
        <v>2.0</v>
      </c>
      <c r="B4" s="24">
        <v>1601250.0</v>
      </c>
      <c r="C4" s="20">
        <v>895000.0</v>
      </c>
      <c r="D4" s="18">
        <f t="array" ref="D4">B4-C4</f>
        <v>706250</v>
      </c>
      <c r="E4" s="20">
        <v>80000.0</v>
      </c>
      <c r="F4" s="14">
        <f t="array" ref="F4">B4-C4-E4</f>
        <v>626250</v>
      </c>
      <c r="G4" s="4"/>
      <c r="H4" s="4"/>
      <c r="I4" s="4"/>
      <c r="J4" s="4"/>
      <c r="K4" s="4"/>
      <c r="L4" s="4"/>
      <c r="M4" s="4"/>
      <c r="N4" s="4"/>
      <c r="O4" s="4"/>
      <c r="P4" s="4"/>
      <c r="Q4" s="4"/>
      <c r="R4" s="4"/>
      <c r="S4" s="4"/>
      <c r="T4" s="4"/>
      <c r="U4" s="4"/>
      <c r="V4" s="4"/>
      <c r="W4" s="4"/>
      <c r="X4" s="4"/>
      <c r="Y4" s="4"/>
      <c r="Z4" s="4"/>
    </row>
    <row r="5" ht="19.5" customHeight="1">
      <c r="A5" s="15">
        <v>3.0</v>
      </c>
      <c r="B5" s="24">
        <v>0.0</v>
      </c>
      <c r="C5" s="17"/>
      <c r="D5" s="18">
        <f t="array" ref="D5">B5-C5</f>
        <v>0</v>
      </c>
      <c r="E5" s="20">
        <v>70000.0</v>
      </c>
      <c r="F5" s="19">
        <f t="array" ref="F5">B5-C5-E5</f>
        <v>-70000</v>
      </c>
      <c r="G5" s="4"/>
      <c r="H5" s="4"/>
      <c r="I5" s="4"/>
      <c r="J5" s="4"/>
      <c r="K5" s="4"/>
      <c r="L5" s="4"/>
      <c r="M5" s="4"/>
      <c r="N5" s="4"/>
      <c r="O5" s="4"/>
      <c r="P5" s="4"/>
      <c r="Q5" s="4"/>
      <c r="R5" s="4"/>
      <c r="S5" s="4"/>
      <c r="T5" s="4"/>
      <c r="U5" s="4"/>
      <c r="V5" s="4"/>
      <c r="W5" s="4"/>
      <c r="X5" s="4"/>
      <c r="Y5" s="4"/>
      <c r="Z5" s="4"/>
    </row>
    <row r="6" ht="19.5" customHeight="1">
      <c r="A6" s="15">
        <v>4.0</v>
      </c>
      <c r="B6" s="24">
        <v>0.0</v>
      </c>
      <c r="C6" s="17"/>
      <c r="D6" s="18"/>
      <c r="E6" s="20">
        <v>240000.0</v>
      </c>
      <c r="F6" s="19">
        <f t="array" ref="F6">B6-C6-E6</f>
        <v>-240000</v>
      </c>
      <c r="G6" s="4"/>
      <c r="H6" s="4"/>
      <c r="I6" s="4"/>
      <c r="J6" s="4"/>
      <c r="K6" s="4"/>
      <c r="L6" s="4"/>
      <c r="M6" s="4"/>
      <c r="N6" s="4"/>
      <c r="O6" s="4"/>
      <c r="P6" s="4"/>
      <c r="Q6" s="4"/>
      <c r="R6" s="4"/>
      <c r="S6" s="4"/>
      <c r="T6" s="4"/>
      <c r="U6" s="4"/>
      <c r="V6" s="4"/>
      <c r="W6" s="4"/>
      <c r="X6" s="4"/>
      <c r="Y6" s="4"/>
      <c r="Z6" s="4"/>
    </row>
    <row r="7" ht="19.5" customHeight="1">
      <c r="A7" s="15">
        <v>5.0</v>
      </c>
      <c r="B7" s="24">
        <v>412500.0</v>
      </c>
      <c r="C7" s="20">
        <v>253000.0</v>
      </c>
      <c r="D7" s="18">
        <f t="array" ref="D7">B7-C7</f>
        <v>159500</v>
      </c>
      <c r="E7" s="22">
        <v>1380000.0</v>
      </c>
      <c r="F7" s="23">
        <f>B7-C7-E7</f>
        <v>-1220500</v>
      </c>
      <c r="G7" s="4"/>
      <c r="H7" s="4"/>
      <c r="I7" s="4"/>
      <c r="J7" s="4"/>
      <c r="K7" s="4"/>
      <c r="L7" s="4"/>
      <c r="M7" s="4"/>
      <c r="N7" s="4"/>
      <c r="O7" s="4"/>
      <c r="P7" s="4"/>
      <c r="Q7" s="4"/>
      <c r="R7" s="4"/>
      <c r="S7" s="4"/>
      <c r="T7" s="4"/>
      <c r="U7" s="4"/>
      <c r="V7" s="4"/>
      <c r="W7" s="4"/>
      <c r="X7" s="4"/>
      <c r="Y7" s="4"/>
      <c r="Z7" s="4"/>
    </row>
    <row r="8" ht="19.5" customHeight="1">
      <c r="A8" s="15">
        <v>6.0</v>
      </c>
      <c r="B8" s="24">
        <v>1974400.0</v>
      </c>
      <c r="C8" s="20">
        <v>1131059.0</v>
      </c>
      <c r="D8" s="18">
        <f t="array" ref="D8">B8-C8</f>
        <v>843341</v>
      </c>
      <c r="E8" s="20">
        <v>95000.0</v>
      </c>
      <c r="F8" s="19">
        <f t="array" ref="F8">B8-C8-E8</f>
        <v>748341</v>
      </c>
      <c r="G8" s="4"/>
      <c r="H8" s="4"/>
      <c r="I8" s="4"/>
      <c r="J8" s="4"/>
      <c r="K8" s="4"/>
      <c r="L8" s="4"/>
      <c r="M8" s="4"/>
      <c r="N8" s="4"/>
      <c r="O8" s="4"/>
      <c r="P8" s="4"/>
      <c r="Q8" s="4"/>
      <c r="R8" s="4"/>
      <c r="S8" s="4"/>
      <c r="T8" s="4"/>
      <c r="U8" s="4"/>
      <c r="V8" s="4"/>
      <c r="W8" s="4"/>
      <c r="X8" s="4"/>
      <c r="Y8" s="4"/>
      <c r="Z8" s="4"/>
    </row>
    <row r="9" ht="19.5" customHeight="1">
      <c r="A9" s="15">
        <v>7.0</v>
      </c>
      <c r="B9" s="24">
        <v>366500.0</v>
      </c>
      <c r="C9" s="20">
        <v>247000.0</v>
      </c>
      <c r="D9" s="18">
        <f t="array" ref="D9">B9-C9</f>
        <v>119500</v>
      </c>
      <c r="E9" s="20">
        <v>91000.0</v>
      </c>
      <c r="F9" s="19">
        <f t="array" ref="F9">B9-C9-E9</f>
        <v>28500</v>
      </c>
      <c r="G9" s="4"/>
      <c r="H9" s="4"/>
      <c r="I9" s="4"/>
      <c r="J9" s="4"/>
      <c r="K9" s="4"/>
      <c r="L9" s="4"/>
      <c r="M9" s="4"/>
      <c r="N9" s="4"/>
      <c r="O9" s="4"/>
      <c r="P9" s="4"/>
      <c r="Q9" s="4"/>
      <c r="R9" s="4"/>
      <c r="S9" s="4"/>
      <c r="T9" s="4"/>
      <c r="U9" s="4"/>
      <c r="V9" s="4"/>
      <c r="W9" s="4"/>
      <c r="X9" s="4"/>
      <c r="Y9" s="4"/>
      <c r="Z9" s="4"/>
    </row>
    <row r="10" ht="19.5" customHeight="1">
      <c r="A10" s="15">
        <v>8.0</v>
      </c>
      <c r="B10" s="24">
        <v>537500.0</v>
      </c>
      <c r="C10" s="20">
        <v>338000.0</v>
      </c>
      <c r="D10" s="18">
        <f t="array" ref="D10">B10-C10</f>
        <v>199500</v>
      </c>
      <c r="E10" s="20">
        <v>97000.0</v>
      </c>
      <c r="F10" s="19">
        <f t="array" ref="F10">B10-C10-E10</f>
        <v>102500</v>
      </c>
      <c r="G10" s="4"/>
      <c r="H10" s="4"/>
      <c r="I10" s="4"/>
      <c r="J10" s="4"/>
      <c r="K10" s="4"/>
      <c r="L10" s="4"/>
      <c r="M10" s="4"/>
      <c r="N10" s="4"/>
      <c r="O10" s="4"/>
      <c r="P10" s="4"/>
      <c r="Q10" s="4"/>
      <c r="R10" s="4"/>
      <c r="S10" s="4"/>
      <c r="T10" s="4"/>
      <c r="U10" s="4"/>
      <c r="V10" s="4"/>
      <c r="W10" s="4"/>
      <c r="X10" s="4"/>
      <c r="Y10" s="4"/>
      <c r="Z10" s="4"/>
    </row>
    <row r="11" ht="19.5" customHeight="1">
      <c r="A11" s="15">
        <v>9.0</v>
      </c>
      <c r="B11" s="24">
        <v>2227900.0</v>
      </c>
      <c r="C11" s="20">
        <v>1377400.0</v>
      </c>
      <c r="D11" s="18">
        <f t="array" ref="D11">B11-C11</f>
        <v>850500</v>
      </c>
      <c r="E11" s="20">
        <v>106000.0</v>
      </c>
      <c r="F11" s="19">
        <f t="array" ref="F11">B11-C11-E11</f>
        <v>744500</v>
      </c>
      <c r="G11" s="4"/>
      <c r="H11" s="4"/>
      <c r="I11" s="4"/>
      <c r="J11" s="4"/>
      <c r="K11" s="4"/>
      <c r="L11" s="4"/>
      <c r="M11" s="4"/>
      <c r="N11" s="4"/>
      <c r="O11" s="4"/>
      <c r="P11" s="4"/>
      <c r="Q11" s="4"/>
      <c r="R11" s="4"/>
      <c r="S11" s="4"/>
      <c r="T11" s="4"/>
      <c r="U11" s="4"/>
      <c r="V11" s="4"/>
      <c r="W11" s="4"/>
      <c r="X11" s="4"/>
      <c r="Y11" s="4"/>
      <c r="Z11" s="4"/>
    </row>
    <row r="12" ht="19.5" customHeight="1">
      <c r="A12" s="15">
        <v>10.0</v>
      </c>
      <c r="B12" s="24">
        <v>761250.0</v>
      </c>
      <c r="C12" s="20">
        <v>435000.0</v>
      </c>
      <c r="D12" s="18">
        <f t="array" ref="D12">B12-C12</f>
        <v>326250</v>
      </c>
      <c r="E12" s="20">
        <v>124730.0</v>
      </c>
      <c r="F12" s="19">
        <f t="array" ref="F12">B12-C12-E12</f>
        <v>201520</v>
      </c>
      <c r="G12" s="4"/>
      <c r="H12" s="4"/>
      <c r="I12" s="4"/>
      <c r="J12" s="4"/>
      <c r="K12" s="4"/>
      <c r="L12" s="4"/>
      <c r="M12" s="4"/>
      <c r="N12" s="4"/>
      <c r="O12" s="4"/>
      <c r="P12" s="4"/>
      <c r="Q12" s="4"/>
      <c r="R12" s="4"/>
      <c r="S12" s="4"/>
      <c r="T12" s="4"/>
      <c r="U12" s="4"/>
      <c r="V12" s="4"/>
      <c r="W12" s="4"/>
      <c r="X12" s="4"/>
      <c r="Y12" s="4"/>
      <c r="Z12" s="4"/>
    </row>
    <row r="13" ht="19.5" customHeight="1">
      <c r="A13" s="15">
        <v>11.0</v>
      </c>
      <c r="B13" s="16"/>
      <c r="C13" s="17"/>
      <c r="D13" s="18">
        <f t="array" ref="D13">B13-C13</f>
        <v>0</v>
      </c>
      <c r="E13" s="17"/>
      <c r="F13" s="19">
        <f t="array" ref="F13">B13-C13-E13</f>
        <v>0</v>
      </c>
      <c r="G13" s="4"/>
      <c r="H13" s="4"/>
      <c r="I13" s="4"/>
      <c r="J13" s="4"/>
      <c r="K13" s="4"/>
      <c r="L13" s="4"/>
      <c r="M13" s="4"/>
      <c r="N13" s="4"/>
      <c r="O13" s="4"/>
      <c r="P13" s="4"/>
      <c r="Q13" s="4"/>
      <c r="R13" s="4"/>
      <c r="S13" s="4"/>
      <c r="T13" s="4"/>
      <c r="U13" s="4"/>
      <c r="V13" s="4"/>
      <c r="W13" s="4"/>
      <c r="X13" s="4"/>
      <c r="Y13" s="4"/>
      <c r="Z13" s="4"/>
    </row>
    <row r="14" ht="19.5" customHeight="1">
      <c r="A14" s="15">
        <v>12.0</v>
      </c>
      <c r="B14" s="24">
        <v>946250.0</v>
      </c>
      <c r="C14" s="20">
        <v>569000.0</v>
      </c>
      <c r="D14" s="18">
        <f t="array" ref="D14">B14-C14</f>
        <v>377250</v>
      </c>
      <c r="E14" s="20">
        <v>80000.0</v>
      </c>
      <c r="F14" s="19">
        <f t="array" ref="F14">B14-C14-E14</f>
        <v>297250</v>
      </c>
      <c r="G14" s="4"/>
      <c r="H14" s="4"/>
      <c r="I14" s="4"/>
      <c r="J14" s="4"/>
      <c r="K14" s="4"/>
      <c r="L14" s="4"/>
      <c r="M14" s="4"/>
      <c r="N14" s="4"/>
      <c r="O14" s="4"/>
      <c r="P14" s="4"/>
      <c r="Q14" s="4"/>
      <c r="R14" s="4"/>
      <c r="S14" s="4"/>
      <c r="T14" s="4"/>
      <c r="U14" s="4"/>
      <c r="V14" s="4"/>
      <c r="W14" s="4"/>
      <c r="X14" s="4"/>
      <c r="Y14" s="4"/>
      <c r="Z14" s="4"/>
    </row>
    <row r="15" ht="19.5" customHeight="1">
      <c r="A15" s="15">
        <v>13.0</v>
      </c>
      <c r="B15" s="24">
        <v>1022500.0</v>
      </c>
      <c r="C15" s="20">
        <v>644000.0</v>
      </c>
      <c r="D15" s="18">
        <f t="array" ref="D15">B15-C15</f>
        <v>378500</v>
      </c>
      <c r="E15" s="20">
        <v>80000.0</v>
      </c>
      <c r="F15" s="19">
        <f t="array" ref="F15">B15-C15-E15</f>
        <v>298500</v>
      </c>
      <c r="G15" s="4"/>
      <c r="H15" s="4"/>
      <c r="I15" s="4"/>
      <c r="J15" s="4"/>
      <c r="K15" s="4"/>
      <c r="L15" s="4"/>
      <c r="M15" s="4"/>
      <c r="N15" s="4"/>
      <c r="O15" s="4"/>
      <c r="P15" s="4"/>
      <c r="Q15" s="4"/>
      <c r="R15" s="4"/>
      <c r="S15" s="4"/>
      <c r="T15" s="4"/>
      <c r="U15" s="4"/>
      <c r="V15" s="4"/>
      <c r="W15" s="4"/>
      <c r="X15" s="4"/>
      <c r="Y15" s="4"/>
      <c r="Z15" s="4"/>
    </row>
    <row r="16" ht="19.5" customHeight="1">
      <c r="A16" s="15">
        <v>14.0</v>
      </c>
      <c r="B16" s="24">
        <v>524125.0</v>
      </c>
      <c r="C16" s="20">
        <v>317500.0</v>
      </c>
      <c r="D16" s="18">
        <f t="array" ref="D16">B16-C16</f>
        <v>206625</v>
      </c>
      <c r="E16" s="20">
        <v>95000.0</v>
      </c>
      <c r="F16" s="19">
        <f t="array" ref="F16">B16-C16-E16</f>
        <v>111625</v>
      </c>
      <c r="G16" s="4"/>
      <c r="H16" s="4"/>
      <c r="I16" s="4"/>
      <c r="J16" s="4"/>
      <c r="K16" s="4"/>
      <c r="L16" s="4"/>
      <c r="M16" s="4"/>
      <c r="N16" s="4"/>
      <c r="O16" s="4"/>
      <c r="P16" s="4"/>
      <c r="Q16" s="4"/>
      <c r="R16" s="4"/>
      <c r="S16" s="4"/>
      <c r="T16" s="4"/>
      <c r="U16" s="4"/>
      <c r="V16" s="4"/>
      <c r="W16" s="4"/>
      <c r="X16" s="4"/>
      <c r="Y16" s="4"/>
      <c r="Z16" s="4"/>
    </row>
    <row r="17" ht="19.5" customHeight="1">
      <c r="A17" s="15">
        <v>15.0</v>
      </c>
      <c r="B17" s="24">
        <v>1221525.0</v>
      </c>
      <c r="C17" s="20">
        <v>710824.0</v>
      </c>
      <c r="D17" s="18">
        <f t="array" ref="D17">B17-C17</f>
        <v>510701</v>
      </c>
      <c r="E17" s="20">
        <v>106000.0</v>
      </c>
      <c r="F17" s="19">
        <f t="array" ref="F17">B17-C17-E17</f>
        <v>404701</v>
      </c>
      <c r="G17" s="4"/>
      <c r="H17" s="4"/>
      <c r="I17" s="4"/>
      <c r="J17" s="4"/>
      <c r="K17" s="4"/>
      <c r="L17" s="4"/>
      <c r="M17" s="4"/>
      <c r="N17" s="4"/>
      <c r="O17" s="4"/>
      <c r="P17" s="4"/>
      <c r="Q17" s="4"/>
      <c r="R17" s="4"/>
      <c r="S17" s="4"/>
      <c r="T17" s="4"/>
      <c r="U17" s="4"/>
      <c r="V17" s="4"/>
      <c r="W17" s="4"/>
      <c r="X17" s="4"/>
      <c r="Y17" s="4"/>
      <c r="Z17" s="4"/>
    </row>
    <row r="18" ht="19.5" customHeight="1">
      <c r="A18" s="15">
        <v>16.0</v>
      </c>
      <c r="B18" s="24">
        <v>3082250.0</v>
      </c>
      <c r="C18" s="20">
        <v>1771100.0</v>
      </c>
      <c r="D18" s="18">
        <f t="array" ref="D18">B18-C18</f>
        <v>1311150</v>
      </c>
      <c r="E18" s="20">
        <v>102000.0</v>
      </c>
      <c r="F18" s="19">
        <f t="array" ref="F18">B18-C18-E18</f>
        <v>1209150</v>
      </c>
      <c r="G18" s="4"/>
      <c r="H18" s="4"/>
      <c r="I18" s="4"/>
      <c r="J18" s="4"/>
      <c r="K18" s="4"/>
      <c r="L18" s="4"/>
      <c r="M18" s="4"/>
      <c r="N18" s="4"/>
      <c r="O18" s="4"/>
      <c r="P18" s="4"/>
      <c r="Q18" s="4"/>
      <c r="R18" s="4"/>
      <c r="S18" s="4"/>
      <c r="T18" s="4"/>
      <c r="U18" s="4"/>
      <c r="V18" s="4"/>
      <c r="W18" s="4"/>
      <c r="X18" s="4"/>
      <c r="Y18" s="4"/>
      <c r="Z18" s="4"/>
    </row>
    <row r="19" ht="19.5" customHeight="1">
      <c r="A19" s="15">
        <v>17.0</v>
      </c>
      <c r="B19" s="24">
        <v>1190000.0</v>
      </c>
      <c r="C19" s="20">
        <v>679000.0</v>
      </c>
      <c r="D19" s="18">
        <f t="array" ref="D19">B19-C19</f>
        <v>511000</v>
      </c>
      <c r="E19" s="20">
        <v>100000.0</v>
      </c>
      <c r="F19" s="19">
        <f t="array" ref="F19">B19-C19-E19</f>
        <v>411000</v>
      </c>
      <c r="G19" s="4"/>
      <c r="H19" s="4"/>
      <c r="I19" s="4"/>
      <c r="J19" s="4"/>
      <c r="K19" s="4"/>
      <c r="L19" s="4"/>
      <c r="M19" s="4"/>
      <c r="N19" s="4"/>
      <c r="O19" s="4"/>
      <c r="P19" s="4"/>
      <c r="Q19" s="4"/>
      <c r="R19" s="4"/>
      <c r="S19" s="4"/>
      <c r="T19" s="4"/>
      <c r="U19" s="4"/>
      <c r="V19" s="4"/>
      <c r="W19" s="4"/>
      <c r="X19" s="4"/>
      <c r="Y19" s="4"/>
      <c r="Z19" s="4"/>
    </row>
    <row r="20" ht="19.5" customHeight="1">
      <c r="A20" s="15">
        <v>18.0</v>
      </c>
      <c r="B20" s="16"/>
      <c r="C20" s="17"/>
      <c r="D20" s="18">
        <f>B20-C20</f>
        <v>0</v>
      </c>
      <c r="E20" s="17"/>
      <c r="F20" s="19">
        <f t="array" ref="F20">B20-C20-E20</f>
        <v>0</v>
      </c>
      <c r="G20" s="4"/>
      <c r="H20" s="4"/>
      <c r="I20" s="4"/>
      <c r="J20" s="4"/>
      <c r="K20" s="4"/>
      <c r="L20" s="4"/>
      <c r="M20" s="4"/>
      <c r="N20" s="4"/>
      <c r="O20" s="4"/>
      <c r="P20" s="4"/>
      <c r="Q20" s="4"/>
      <c r="R20" s="4"/>
      <c r="S20" s="4"/>
      <c r="T20" s="4"/>
      <c r="U20" s="4"/>
      <c r="V20" s="4"/>
      <c r="W20" s="4"/>
      <c r="X20" s="4"/>
      <c r="Y20" s="4"/>
      <c r="Z20" s="4"/>
    </row>
    <row r="21" ht="19.5" customHeight="1">
      <c r="A21" s="15">
        <v>19.0</v>
      </c>
      <c r="B21" s="24">
        <v>180000.0</v>
      </c>
      <c r="C21" s="20">
        <v>117000.0</v>
      </c>
      <c r="D21" s="18">
        <f t="array" ref="D21">B21-C21</f>
        <v>63000</v>
      </c>
      <c r="E21" s="20">
        <v>80000.0</v>
      </c>
      <c r="F21" s="19">
        <f t="array" ref="F21">B21-C21-E21</f>
        <v>-17000</v>
      </c>
      <c r="G21" s="4"/>
      <c r="H21" s="4"/>
      <c r="I21" s="4"/>
      <c r="J21" s="4"/>
      <c r="K21" s="4"/>
      <c r="L21" s="4"/>
      <c r="M21" s="4"/>
      <c r="N21" s="4"/>
      <c r="O21" s="4"/>
      <c r="P21" s="4"/>
      <c r="Q21" s="4"/>
      <c r="R21" s="4"/>
      <c r="S21" s="4"/>
      <c r="T21" s="4"/>
      <c r="U21" s="4"/>
      <c r="V21" s="4"/>
      <c r="W21" s="4"/>
      <c r="X21" s="4"/>
      <c r="Y21" s="4"/>
      <c r="Z21" s="4"/>
    </row>
    <row r="22" ht="19.5" customHeight="1">
      <c r="A22" s="15">
        <v>20.0</v>
      </c>
      <c r="B22" s="16"/>
      <c r="C22" s="17"/>
      <c r="D22" s="18">
        <f t="array" ref="D22">B22-C22</f>
        <v>0</v>
      </c>
      <c r="E22" s="20">
        <v>130000.0</v>
      </c>
      <c r="F22" s="19">
        <f t="array" ref="F22">B22-C22-E22</f>
        <v>-130000</v>
      </c>
      <c r="G22" s="4"/>
      <c r="H22" s="4"/>
      <c r="I22" s="4"/>
      <c r="J22" s="4"/>
      <c r="K22" s="4"/>
      <c r="L22" s="4"/>
      <c r="M22" s="4"/>
      <c r="N22" s="4"/>
      <c r="O22" s="4"/>
      <c r="P22" s="4"/>
      <c r="Q22" s="4"/>
      <c r="R22" s="4"/>
      <c r="S22" s="4"/>
      <c r="T22" s="4"/>
      <c r="U22" s="4"/>
      <c r="V22" s="4"/>
      <c r="W22" s="4"/>
      <c r="X22" s="4"/>
      <c r="Y22" s="4"/>
      <c r="Z22" s="4"/>
    </row>
    <row r="23" ht="19.5" customHeight="1">
      <c r="A23" s="15">
        <v>21.0</v>
      </c>
      <c r="B23" s="16"/>
      <c r="C23" s="17"/>
      <c r="D23" s="18">
        <f t="array" ref="D23">B23-C23</f>
        <v>0</v>
      </c>
      <c r="E23" s="20">
        <v>80000.0</v>
      </c>
      <c r="F23" s="19">
        <f t="array" ref="F23">B23-C23-E23</f>
        <v>-80000</v>
      </c>
      <c r="G23" s="4"/>
      <c r="H23" s="4"/>
      <c r="I23" s="4"/>
      <c r="J23" s="4"/>
      <c r="K23" s="4"/>
      <c r="L23" s="4"/>
      <c r="M23" s="4"/>
      <c r="N23" s="4"/>
      <c r="O23" s="4"/>
      <c r="P23" s="4"/>
      <c r="Q23" s="4"/>
      <c r="R23" s="4"/>
      <c r="S23" s="4"/>
      <c r="T23" s="4"/>
      <c r="U23" s="4"/>
      <c r="V23" s="4"/>
      <c r="W23" s="4"/>
      <c r="X23" s="4"/>
      <c r="Y23" s="4"/>
      <c r="Z23" s="4"/>
    </row>
    <row r="24" ht="19.5" customHeight="1">
      <c r="A24" s="15">
        <v>22.0</v>
      </c>
      <c r="B24" s="24">
        <v>113750.0</v>
      </c>
      <c r="C24" s="20">
        <v>74900.0</v>
      </c>
      <c r="D24" s="18">
        <f t="array" ref="D24">B24-C24</f>
        <v>38850</v>
      </c>
      <c r="E24" s="20">
        <v>80000.0</v>
      </c>
      <c r="F24" s="19">
        <f t="array" ref="F24">B24-C24-E24</f>
        <v>-41150</v>
      </c>
      <c r="G24" s="4"/>
      <c r="H24" s="4"/>
      <c r="I24" s="4"/>
      <c r="J24" s="4"/>
      <c r="K24" s="4"/>
      <c r="L24" s="4"/>
      <c r="M24" s="4"/>
      <c r="N24" s="4"/>
      <c r="O24" s="4"/>
      <c r="P24" s="4"/>
      <c r="Q24" s="4"/>
      <c r="R24" s="4"/>
      <c r="S24" s="4"/>
      <c r="T24" s="4"/>
      <c r="U24" s="4"/>
      <c r="V24" s="4"/>
      <c r="W24" s="4"/>
      <c r="X24" s="4"/>
      <c r="Y24" s="4"/>
      <c r="Z24" s="4"/>
    </row>
    <row r="25" ht="19.5" customHeight="1">
      <c r="A25" s="15">
        <v>23.0</v>
      </c>
      <c r="B25" s="24">
        <v>1748900.0</v>
      </c>
      <c r="C25" s="20">
        <v>1022059.0</v>
      </c>
      <c r="D25" s="18">
        <f t="array" ref="D25">B25-C25</f>
        <v>726841</v>
      </c>
      <c r="E25" s="20">
        <v>80000.0</v>
      </c>
      <c r="F25" s="19">
        <f t="array" ref="F25">B25-C25-E25</f>
        <v>646841</v>
      </c>
      <c r="G25" s="4"/>
      <c r="H25" s="4"/>
      <c r="I25" s="4"/>
      <c r="J25" s="4"/>
      <c r="K25" s="4"/>
      <c r="L25" s="4"/>
      <c r="M25" s="4"/>
      <c r="N25" s="4"/>
      <c r="O25" s="4"/>
      <c r="P25" s="4"/>
      <c r="Q25" s="4"/>
      <c r="R25" s="4"/>
      <c r="S25" s="4"/>
      <c r="T25" s="4"/>
      <c r="U25" s="4"/>
      <c r="V25" s="4"/>
      <c r="W25" s="4"/>
      <c r="X25" s="4"/>
      <c r="Y25" s="4"/>
      <c r="Z25" s="4"/>
    </row>
    <row r="26" ht="19.5" customHeight="1">
      <c r="A26" s="15">
        <v>24.0</v>
      </c>
      <c r="B26" s="24">
        <v>2200000.0</v>
      </c>
      <c r="C26" s="20">
        <v>1282000.0</v>
      </c>
      <c r="D26" s="18">
        <f t="array" ref="D26">B26-C26</f>
        <v>918000</v>
      </c>
      <c r="E26" s="20">
        <v>100000.0</v>
      </c>
      <c r="F26" s="19">
        <f t="array" ref="F26">B26-C26-E26</f>
        <v>818000</v>
      </c>
      <c r="G26" s="4"/>
      <c r="H26" s="4"/>
      <c r="I26" s="4"/>
      <c r="J26" s="4"/>
      <c r="K26" s="4"/>
      <c r="L26" s="4"/>
      <c r="M26" s="4"/>
      <c r="N26" s="4"/>
      <c r="O26" s="4"/>
      <c r="P26" s="4"/>
      <c r="Q26" s="4"/>
      <c r="R26" s="4"/>
      <c r="S26" s="4"/>
      <c r="T26" s="4"/>
      <c r="U26" s="4"/>
      <c r="V26" s="4"/>
      <c r="W26" s="4"/>
      <c r="X26" s="4"/>
      <c r="Y26" s="4"/>
      <c r="Z26" s="4"/>
    </row>
    <row r="27" ht="19.5" customHeight="1">
      <c r="A27" s="15">
        <v>25.0</v>
      </c>
      <c r="B27" s="16"/>
      <c r="C27" s="17"/>
      <c r="D27" s="18">
        <f t="array" ref="D27">B27-C27</f>
        <v>0</v>
      </c>
      <c r="E27" s="20"/>
      <c r="F27" s="19">
        <f t="array" ref="F27">B27-C27-E27</f>
        <v>0</v>
      </c>
      <c r="G27" s="4"/>
      <c r="H27" s="4"/>
      <c r="I27" s="4"/>
      <c r="J27" s="4"/>
      <c r="K27" s="4"/>
      <c r="L27" s="4"/>
      <c r="M27" s="4"/>
      <c r="N27" s="4"/>
      <c r="O27" s="4"/>
      <c r="P27" s="4"/>
      <c r="Q27" s="4"/>
      <c r="R27" s="4"/>
      <c r="S27" s="4"/>
      <c r="T27" s="4"/>
      <c r="U27" s="4"/>
      <c r="V27" s="4"/>
      <c r="W27" s="4"/>
      <c r="X27" s="4"/>
      <c r="Y27" s="4"/>
      <c r="Z27" s="4"/>
    </row>
    <row r="28" ht="19.5" customHeight="1">
      <c r="A28" s="15">
        <v>26.0</v>
      </c>
      <c r="B28" s="24">
        <v>616000.0</v>
      </c>
      <c r="C28" s="20">
        <v>380000.0</v>
      </c>
      <c r="D28" s="18">
        <f t="array" ref="D28">B28-C28</f>
        <v>236000</v>
      </c>
      <c r="E28" s="20">
        <v>80000.0</v>
      </c>
      <c r="F28" s="19">
        <f t="array" ref="F28">B28-C28-E28</f>
        <v>156000</v>
      </c>
      <c r="G28" s="4"/>
      <c r="H28" s="4"/>
      <c r="I28" s="4"/>
      <c r="J28" s="4"/>
      <c r="K28" s="4"/>
      <c r="L28" s="4"/>
      <c r="M28" s="4"/>
      <c r="N28" s="4"/>
      <c r="O28" s="4"/>
      <c r="P28" s="4"/>
      <c r="Q28" s="4"/>
      <c r="R28" s="4"/>
      <c r="S28" s="4"/>
      <c r="T28" s="4"/>
      <c r="U28" s="4"/>
      <c r="V28" s="4"/>
      <c r="W28" s="4"/>
      <c r="X28" s="4"/>
      <c r="Y28" s="4"/>
      <c r="Z28" s="4"/>
    </row>
    <row r="29" ht="19.5" customHeight="1">
      <c r="A29" s="15">
        <v>27.0</v>
      </c>
      <c r="B29" s="24">
        <v>1177500.0</v>
      </c>
      <c r="C29" s="20">
        <v>719000.0</v>
      </c>
      <c r="D29" s="18">
        <f t="array" ref="D29">B29-C29</f>
        <v>458500</v>
      </c>
      <c r="E29" s="20">
        <v>220900.0</v>
      </c>
      <c r="F29" s="19">
        <f t="array" ref="F29">B29-C29-E29</f>
        <v>237600</v>
      </c>
      <c r="G29" s="4"/>
      <c r="H29" s="4"/>
      <c r="I29" s="4"/>
      <c r="J29" s="4"/>
      <c r="K29" s="4"/>
      <c r="L29" s="4"/>
      <c r="M29" s="4"/>
      <c r="N29" s="4"/>
      <c r="O29" s="4"/>
      <c r="P29" s="4"/>
      <c r="Q29" s="4"/>
      <c r="R29" s="4"/>
      <c r="S29" s="4"/>
      <c r="T29" s="4"/>
      <c r="U29" s="4"/>
      <c r="V29" s="4"/>
      <c r="W29" s="4"/>
      <c r="X29" s="4"/>
      <c r="Y29" s="4"/>
      <c r="Z29" s="4"/>
    </row>
    <row r="30" ht="19.5" customHeight="1">
      <c r="A30" s="15">
        <v>28.0</v>
      </c>
      <c r="B30" s="24">
        <v>398750.0</v>
      </c>
      <c r="C30" s="20">
        <v>202000.0</v>
      </c>
      <c r="D30" s="18">
        <f t="array" ref="D30">B30-C30</f>
        <v>196750</v>
      </c>
      <c r="E30" s="20">
        <v>88000.0</v>
      </c>
      <c r="F30" s="19">
        <f t="array" ref="F30">B30-C30-E30</f>
        <v>108750</v>
      </c>
      <c r="G30" s="4"/>
      <c r="H30" s="4"/>
      <c r="I30" s="4"/>
      <c r="J30" s="4"/>
      <c r="K30" s="4"/>
      <c r="L30" s="4"/>
      <c r="M30" s="4"/>
      <c r="N30" s="4"/>
      <c r="O30" s="4"/>
      <c r="P30" s="4"/>
      <c r="Q30" s="4"/>
      <c r="R30" s="4"/>
      <c r="S30" s="4"/>
      <c r="T30" s="4"/>
      <c r="U30" s="4"/>
      <c r="V30" s="4"/>
      <c r="W30" s="4"/>
      <c r="X30" s="4"/>
      <c r="Y30" s="4"/>
      <c r="Z30" s="4"/>
    </row>
    <row r="31" ht="19.5" customHeight="1">
      <c r="A31" s="15">
        <v>29.0</v>
      </c>
      <c r="B31" s="24">
        <v>385000.0</v>
      </c>
      <c r="C31" s="20">
        <v>212900.0</v>
      </c>
      <c r="D31" s="18">
        <f t="array" ref="D31">B31-C31</f>
        <v>172100</v>
      </c>
      <c r="E31" s="20">
        <v>80000.0</v>
      </c>
      <c r="F31" s="19">
        <f t="array" ref="F31">B31-C31-E31</f>
        <v>92100</v>
      </c>
      <c r="G31" s="4"/>
      <c r="H31" s="4"/>
      <c r="I31" s="4"/>
      <c r="J31" s="4"/>
      <c r="K31" s="4"/>
      <c r="L31" s="4"/>
      <c r="M31" s="4"/>
      <c r="N31" s="4"/>
      <c r="O31" s="4"/>
      <c r="P31" s="4"/>
      <c r="Q31" s="4"/>
      <c r="R31" s="4"/>
      <c r="S31" s="4"/>
      <c r="T31" s="4"/>
      <c r="U31" s="4"/>
      <c r="V31" s="4"/>
      <c r="W31" s="4"/>
      <c r="X31" s="4"/>
      <c r="Y31" s="4"/>
      <c r="Z31" s="4"/>
    </row>
    <row r="32" ht="19.5" customHeight="1">
      <c r="A32" s="15">
        <v>30.0</v>
      </c>
      <c r="B32" s="24">
        <v>1566250.0</v>
      </c>
      <c r="C32" s="20">
        <v>890000.0</v>
      </c>
      <c r="D32" s="18">
        <f t="array" ref="D32">B32-C32</f>
        <v>676250</v>
      </c>
      <c r="E32" s="20">
        <v>90000.0</v>
      </c>
      <c r="F32" s="19">
        <f t="array" ref="F32">B32-C32-E32</f>
        <v>586250</v>
      </c>
      <c r="G32" s="4"/>
      <c r="H32" s="4"/>
      <c r="I32" s="4"/>
      <c r="J32" s="4"/>
      <c r="K32" s="4"/>
      <c r="L32" s="4"/>
      <c r="M32" s="4"/>
      <c r="N32" s="4"/>
      <c r="O32" s="4"/>
      <c r="P32" s="4"/>
      <c r="Q32" s="4"/>
      <c r="R32" s="4"/>
      <c r="S32" s="4"/>
      <c r="T32" s="4"/>
      <c r="U32" s="4"/>
      <c r="V32" s="4"/>
      <c r="W32" s="4"/>
      <c r="X32" s="4"/>
      <c r="Y32" s="4"/>
      <c r="Z32" s="4"/>
    </row>
    <row r="33" ht="19.5" customHeight="1">
      <c r="A33" s="15">
        <v>31.0</v>
      </c>
      <c r="B33" s="24">
        <v>540000.0</v>
      </c>
      <c r="C33" s="20">
        <v>377000.0</v>
      </c>
      <c r="D33" s="18">
        <f t="array" ref="D33">B33-C33</f>
        <v>163000</v>
      </c>
      <c r="E33" s="20">
        <v>60000.0</v>
      </c>
      <c r="F33" s="19">
        <f t="array" ref="F33">B33-C33-E33</f>
        <v>103000</v>
      </c>
      <c r="G33" s="4"/>
      <c r="H33" s="4"/>
      <c r="I33" s="4"/>
      <c r="J33" s="4"/>
      <c r="K33" s="4"/>
      <c r="L33" s="4"/>
      <c r="M33" s="4"/>
      <c r="N33" s="4"/>
      <c r="O33" s="4"/>
      <c r="P33" s="4"/>
      <c r="Q33" s="4"/>
      <c r="R33" s="4"/>
      <c r="S33" s="4"/>
      <c r="T33" s="4"/>
      <c r="U33" s="4"/>
      <c r="V33" s="4"/>
      <c r="W33" s="4"/>
      <c r="X33" s="4"/>
      <c r="Y33" s="4"/>
      <c r="Z33" s="4"/>
    </row>
    <row r="34" ht="19.5" customHeight="1">
      <c r="A34" s="25" t="s">
        <v>29</v>
      </c>
      <c r="B34" s="26">
        <f t="array" ref="B34">SUM(B3:B33)</f>
        <v>24794100</v>
      </c>
      <c r="C34" s="27">
        <f t="array" ref="C34">SUM(C3:C33)</f>
        <v>14644742</v>
      </c>
      <c r="D34" s="28">
        <f t="array" ref="D34">SUM(D3:D33)</f>
        <v>10149358</v>
      </c>
      <c r="E34" s="27">
        <f t="array" ref="E34">SUM(E3:E33)</f>
        <v>4015630</v>
      </c>
      <c r="F34" s="29">
        <f t="array" ref="F34">SUM(F3:F33)</f>
        <v>6133728</v>
      </c>
      <c r="G34" s="4"/>
      <c r="H34" s="4"/>
      <c r="I34" s="4"/>
      <c r="J34" s="4"/>
      <c r="K34" s="4"/>
      <c r="L34" s="4"/>
      <c r="M34" s="4"/>
      <c r="N34" s="4"/>
      <c r="O34" s="4"/>
      <c r="P34" s="4"/>
      <c r="Q34" s="4"/>
      <c r="R34" s="4"/>
      <c r="S34" s="4"/>
      <c r="T34" s="4"/>
      <c r="U34" s="4"/>
      <c r="V34" s="4"/>
      <c r="W34" s="4"/>
      <c r="X34" s="4"/>
      <c r="Y34" s="4"/>
      <c r="Z34" s="4"/>
    </row>
    <row r="35" ht="19.5" customHeight="1">
      <c r="A35" s="15"/>
      <c r="B35" s="30"/>
      <c r="C35" s="32" t="s">
        <v>31</v>
      </c>
      <c r="D35" s="17"/>
      <c r="E35" s="17"/>
      <c r="F35" s="17"/>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F1"/>
  </mergeCells>
  <printOptions/>
  <pageMargins bottom="1.0" footer="0.0" header="0.0" left="1.0" right="1.0" top="1.0"/>
  <pageSetup orientation="portrait"/>
  <headerFooter>
    <oddFooter>&amp;C000000&amp;P</oddFooter>
  </headerFoo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26" width="16.29"/>
  </cols>
  <sheetData>
    <row r="1" ht="27.0" customHeight="1">
      <c r="A1" s="33" t="s">
        <v>1</v>
      </c>
      <c r="G1" s="4"/>
      <c r="H1" s="4"/>
      <c r="I1" s="4"/>
      <c r="J1" s="4"/>
      <c r="K1" s="4"/>
      <c r="L1" s="4"/>
      <c r="M1" s="4"/>
      <c r="N1" s="4"/>
      <c r="O1" s="4"/>
      <c r="P1" s="4"/>
      <c r="Q1" s="4"/>
      <c r="R1" s="4"/>
      <c r="S1" s="4"/>
      <c r="T1" s="4"/>
      <c r="U1" s="4"/>
      <c r="V1" s="4"/>
      <c r="W1" s="4"/>
      <c r="X1" s="4"/>
      <c r="Y1" s="4"/>
      <c r="Z1" s="4"/>
    </row>
    <row r="2" ht="39.75" customHeight="1">
      <c r="A2" s="34">
        <v>46174.0</v>
      </c>
      <c r="B2" s="8" t="s">
        <v>7</v>
      </c>
      <c r="C2" s="8" t="s">
        <v>8</v>
      </c>
      <c r="D2" s="8" t="s">
        <v>9</v>
      </c>
      <c r="E2" s="8" t="s">
        <v>10</v>
      </c>
      <c r="F2" s="8" t="s">
        <v>11</v>
      </c>
      <c r="G2" s="4"/>
      <c r="H2" s="4"/>
      <c r="I2" s="4"/>
      <c r="J2" s="4"/>
      <c r="K2" s="4"/>
      <c r="L2" s="4"/>
      <c r="M2" s="4"/>
      <c r="N2" s="4"/>
      <c r="O2" s="4"/>
      <c r="P2" s="4"/>
      <c r="Q2" s="4"/>
      <c r="R2" s="4"/>
      <c r="S2" s="4"/>
      <c r="T2" s="4"/>
      <c r="U2" s="4"/>
      <c r="V2" s="4"/>
      <c r="W2" s="4"/>
      <c r="X2" s="4"/>
      <c r="Y2" s="4"/>
      <c r="Z2" s="4"/>
    </row>
    <row r="3" ht="20.25" customHeight="1">
      <c r="A3" s="10">
        <v>1.0</v>
      </c>
      <c r="B3" s="35"/>
      <c r="C3" s="12"/>
      <c r="D3" s="13"/>
      <c r="E3" s="12"/>
      <c r="F3" s="14">
        <f t="array" ref="F3">B3-C3-E3</f>
        <v>0</v>
      </c>
      <c r="G3" s="4"/>
      <c r="H3" s="4"/>
      <c r="I3" s="4"/>
      <c r="J3" s="4"/>
      <c r="K3" s="4"/>
      <c r="L3" s="4"/>
      <c r="M3" s="4"/>
      <c r="N3" s="4"/>
      <c r="O3" s="4"/>
      <c r="P3" s="4"/>
      <c r="Q3" s="4"/>
      <c r="R3" s="4"/>
      <c r="S3" s="4"/>
      <c r="T3" s="4"/>
      <c r="U3" s="4"/>
      <c r="V3" s="4"/>
      <c r="W3" s="4"/>
      <c r="X3" s="4"/>
      <c r="Y3" s="4"/>
      <c r="Z3" s="4"/>
    </row>
    <row r="4" ht="19.5" customHeight="1">
      <c r="A4" s="15">
        <v>2.0</v>
      </c>
      <c r="B4" s="24">
        <v>288750.0</v>
      </c>
      <c r="C4" s="20">
        <v>165000.0</v>
      </c>
      <c r="D4" s="18">
        <f t="array" ref="D4">B4-C4</f>
        <v>123750</v>
      </c>
      <c r="E4" s="20">
        <v>80000.0</v>
      </c>
      <c r="F4" s="14">
        <f t="array" ref="F4">B4-C4-E4</f>
        <v>43750</v>
      </c>
      <c r="G4" s="4"/>
      <c r="H4" s="4"/>
      <c r="I4" s="4"/>
      <c r="J4" s="4"/>
      <c r="K4" s="4"/>
      <c r="L4" s="4"/>
      <c r="M4" s="4"/>
      <c r="N4" s="4"/>
      <c r="O4" s="4"/>
      <c r="P4" s="4"/>
      <c r="Q4" s="4"/>
      <c r="R4" s="4"/>
      <c r="S4" s="4"/>
      <c r="T4" s="4"/>
      <c r="U4" s="4"/>
      <c r="V4" s="4"/>
      <c r="W4" s="4"/>
      <c r="X4" s="4"/>
      <c r="Y4" s="4"/>
      <c r="Z4" s="4"/>
    </row>
    <row r="5" ht="19.5" customHeight="1">
      <c r="A5" s="15">
        <v>3.0</v>
      </c>
      <c r="B5" s="24">
        <v>1207500.0</v>
      </c>
      <c r="C5" s="20">
        <v>690000.0</v>
      </c>
      <c r="D5" s="18">
        <f t="array" ref="D5">B5-C5</f>
        <v>517500</v>
      </c>
      <c r="E5" s="20">
        <v>80000.0</v>
      </c>
      <c r="F5" s="19">
        <f t="array" ref="F5">B5-C5-E5</f>
        <v>437500</v>
      </c>
      <c r="G5" s="4"/>
      <c r="H5" s="4"/>
      <c r="I5" s="4"/>
      <c r="J5" s="4"/>
      <c r="K5" s="4"/>
      <c r="L5" s="4"/>
      <c r="M5" s="4"/>
      <c r="N5" s="4"/>
      <c r="O5" s="4"/>
      <c r="P5" s="4"/>
      <c r="Q5" s="4"/>
      <c r="R5" s="4"/>
      <c r="S5" s="4"/>
      <c r="T5" s="4"/>
      <c r="U5" s="4"/>
      <c r="V5" s="4"/>
      <c r="W5" s="4"/>
      <c r="X5" s="4"/>
      <c r="Y5" s="4"/>
      <c r="Z5" s="4"/>
    </row>
    <row r="6" ht="19.5" customHeight="1">
      <c r="A6" s="15">
        <v>4.0</v>
      </c>
      <c r="B6" s="24">
        <v>587500.0</v>
      </c>
      <c r="C6" s="20">
        <v>335500.0</v>
      </c>
      <c r="D6" s="18">
        <f t="array" ref="D6">B6-C6</f>
        <v>252000</v>
      </c>
      <c r="E6" s="20">
        <v>80000.0</v>
      </c>
      <c r="F6" s="19">
        <f t="array" ref="F6">B6-C6-E6</f>
        <v>172000</v>
      </c>
      <c r="G6" s="4"/>
      <c r="H6" s="4"/>
      <c r="I6" s="4"/>
      <c r="J6" s="4"/>
      <c r="K6" s="4"/>
      <c r="L6" s="4"/>
      <c r="M6" s="4"/>
      <c r="N6" s="4"/>
      <c r="O6" s="4"/>
      <c r="P6" s="4"/>
      <c r="Q6" s="4"/>
      <c r="R6" s="4"/>
      <c r="S6" s="4"/>
      <c r="T6" s="4"/>
      <c r="U6" s="4"/>
      <c r="V6" s="4"/>
      <c r="W6" s="4"/>
      <c r="X6" s="4"/>
      <c r="Y6" s="4"/>
      <c r="Z6" s="4"/>
    </row>
    <row r="7" ht="19.5" customHeight="1">
      <c r="A7" s="15">
        <v>5.0</v>
      </c>
      <c r="B7" s="16"/>
      <c r="C7" s="17"/>
      <c r="D7" s="18">
        <f t="array" ref="D7">B7-C7</f>
        <v>0</v>
      </c>
      <c r="E7" s="36">
        <v>80000.0</v>
      </c>
      <c r="F7" s="23">
        <f>B7-C7-E7</f>
        <v>-80000</v>
      </c>
      <c r="G7" s="4"/>
      <c r="H7" s="4"/>
      <c r="I7" s="4"/>
      <c r="J7" s="4"/>
      <c r="K7" s="4"/>
      <c r="L7" s="4"/>
      <c r="M7" s="4"/>
      <c r="N7" s="4"/>
      <c r="O7" s="4"/>
      <c r="P7" s="4"/>
      <c r="Q7" s="4"/>
      <c r="R7" s="4"/>
      <c r="S7" s="4"/>
      <c r="T7" s="4"/>
      <c r="U7" s="4"/>
      <c r="V7" s="4"/>
      <c r="W7" s="4"/>
      <c r="X7" s="4"/>
      <c r="Y7" s="4"/>
      <c r="Z7" s="4"/>
    </row>
    <row r="8" ht="19.5" customHeight="1">
      <c r="A8" s="15">
        <v>6.0</v>
      </c>
      <c r="B8" s="24">
        <v>486500.0</v>
      </c>
      <c r="C8" s="20">
        <v>273000.0</v>
      </c>
      <c r="D8" s="18">
        <f t="array" ref="D8">B8-C8</f>
        <v>213500</v>
      </c>
      <c r="E8" s="20">
        <v>1390500.0</v>
      </c>
      <c r="F8" s="19">
        <f t="array" ref="F8">B8-C8-E8</f>
        <v>-1177000</v>
      </c>
      <c r="G8" s="4"/>
      <c r="H8" s="4"/>
      <c r="I8" s="4"/>
      <c r="J8" s="4"/>
      <c r="K8" s="4"/>
      <c r="L8" s="4"/>
      <c r="M8" s="4"/>
      <c r="N8" s="4"/>
      <c r="O8" s="4"/>
      <c r="P8" s="4"/>
      <c r="Q8" s="4"/>
      <c r="R8" s="4"/>
      <c r="S8" s="4"/>
      <c r="T8" s="4"/>
      <c r="U8" s="4"/>
      <c r="V8" s="4"/>
      <c r="W8" s="4"/>
      <c r="X8" s="4"/>
      <c r="Y8" s="4"/>
      <c r="Z8" s="4"/>
    </row>
    <row r="9" ht="19.5" customHeight="1">
      <c r="A9" s="15">
        <v>7.0</v>
      </c>
      <c r="B9" s="24">
        <v>312750.0</v>
      </c>
      <c r="C9" s="20">
        <v>178800.0</v>
      </c>
      <c r="D9" s="18">
        <f t="array" ref="D9">B9-C9</f>
        <v>133950</v>
      </c>
      <c r="E9" s="20">
        <v>70000.0</v>
      </c>
      <c r="F9" s="19">
        <f t="array" ref="F9">B9-C9-E9</f>
        <v>63950</v>
      </c>
      <c r="G9" s="4"/>
      <c r="H9" s="4"/>
      <c r="I9" s="4"/>
      <c r="J9" s="4"/>
      <c r="K9" s="4"/>
      <c r="L9" s="4"/>
      <c r="M9" s="4"/>
      <c r="N9" s="4"/>
      <c r="O9" s="4"/>
      <c r="P9" s="4"/>
      <c r="Q9" s="4"/>
      <c r="R9" s="4"/>
      <c r="S9" s="4"/>
      <c r="T9" s="4"/>
      <c r="U9" s="4"/>
      <c r="V9" s="4"/>
      <c r="W9" s="4"/>
      <c r="X9" s="4"/>
      <c r="Y9" s="4"/>
      <c r="Z9" s="4"/>
    </row>
    <row r="10" ht="19.5" customHeight="1">
      <c r="A10" s="15">
        <v>8.0</v>
      </c>
      <c r="B10" s="16"/>
      <c r="C10" s="17"/>
      <c r="D10" s="18">
        <f t="array" ref="D10">B10-C10</f>
        <v>0</v>
      </c>
      <c r="E10" s="17"/>
      <c r="F10" s="19">
        <f t="array" ref="F10">B10-C10-E10</f>
        <v>0</v>
      </c>
      <c r="G10" s="4"/>
      <c r="H10" s="4"/>
      <c r="I10" s="4"/>
      <c r="J10" s="4"/>
      <c r="K10" s="4"/>
      <c r="L10" s="4"/>
      <c r="M10" s="4"/>
      <c r="N10" s="4"/>
      <c r="O10" s="4"/>
      <c r="P10" s="4"/>
      <c r="Q10" s="4"/>
      <c r="R10" s="4"/>
      <c r="S10" s="4"/>
      <c r="T10" s="4"/>
      <c r="U10" s="4"/>
      <c r="V10" s="4"/>
      <c r="W10" s="4"/>
      <c r="X10" s="4"/>
      <c r="Y10" s="4"/>
      <c r="Z10" s="4"/>
    </row>
    <row r="11" ht="19.5" customHeight="1">
      <c r="A11" s="15">
        <v>9.0</v>
      </c>
      <c r="B11" s="24">
        <v>380000.0</v>
      </c>
      <c r="C11" s="20">
        <v>247000.0</v>
      </c>
      <c r="D11" s="18">
        <f t="array" ref="D11">B11-C11</f>
        <v>133000</v>
      </c>
      <c r="E11" s="20">
        <v>100000.0</v>
      </c>
      <c r="F11" s="19">
        <f t="array" ref="F11">B11-C11-E11</f>
        <v>33000</v>
      </c>
      <c r="G11" s="4"/>
      <c r="H11" s="4"/>
      <c r="I11" s="4"/>
      <c r="J11" s="4"/>
      <c r="K11" s="4"/>
      <c r="L11" s="4"/>
      <c r="M11" s="4"/>
      <c r="N11" s="4"/>
      <c r="O11" s="4"/>
      <c r="P11" s="4"/>
      <c r="Q11" s="4"/>
      <c r="R11" s="4"/>
      <c r="S11" s="4"/>
      <c r="T11" s="4"/>
      <c r="U11" s="4"/>
      <c r="V11" s="4"/>
      <c r="W11" s="4"/>
      <c r="X11" s="4"/>
      <c r="Y11" s="4"/>
      <c r="Z11" s="4"/>
    </row>
    <row r="12" ht="19.5" customHeight="1">
      <c r="A12" s="15">
        <v>10.0</v>
      </c>
      <c r="B12" s="24">
        <v>540250.0</v>
      </c>
      <c r="C12" s="20">
        <v>308800.0</v>
      </c>
      <c r="D12" s="18">
        <f t="array" ref="D12">B12-C12</f>
        <v>231450</v>
      </c>
      <c r="E12" s="20">
        <v>95000.0</v>
      </c>
      <c r="F12" s="19">
        <f t="array" ref="F12">B12-C12-E12</f>
        <v>136450</v>
      </c>
      <c r="G12" s="4"/>
      <c r="H12" s="4"/>
      <c r="I12" s="4"/>
      <c r="J12" s="4"/>
      <c r="K12" s="4"/>
      <c r="L12" s="4"/>
      <c r="M12" s="4"/>
      <c r="N12" s="4"/>
      <c r="O12" s="4"/>
      <c r="P12" s="4"/>
      <c r="Q12" s="4"/>
      <c r="R12" s="4"/>
      <c r="S12" s="4"/>
      <c r="T12" s="4"/>
      <c r="U12" s="4"/>
      <c r="V12" s="4"/>
      <c r="W12" s="4"/>
      <c r="X12" s="4"/>
      <c r="Y12" s="4"/>
      <c r="Z12" s="4"/>
    </row>
    <row r="13" ht="19.5" customHeight="1">
      <c r="A13" s="15">
        <v>11.0</v>
      </c>
      <c r="B13" s="24">
        <v>272500.0</v>
      </c>
      <c r="C13" s="20">
        <v>155800.0</v>
      </c>
      <c r="D13" s="18">
        <f t="array" ref="D13">B13-C13</f>
        <v>116700</v>
      </c>
      <c r="E13" s="20">
        <v>103500.0</v>
      </c>
      <c r="F13" s="19">
        <f t="array" ref="F13">B13-C13-E13</f>
        <v>13200</v>
      </c>
      <c r="G13" s="4"/>
      <c r="H13" s="4"/>
      <c r="I13" s="4"/>
      <c r="J13" s="4"/>
      <c r="K13" s="4"/>
      <c r="L13" s="4"/>
      <c r="M13" s="4"/>
      <c r="N13" s="4"/>
      <c r="O13" s="4"/>
      <c r="P13" s="4"/>
      <c r="Q13" s="4"/>
      <c r="R13" s="4"/>
      <c r="S13" s="4"/>
      <c r="T13" s="4"/>
      <c r="U13" s="4"/>
      <c r="V13" s="4"/>
      <c r="W13" s="4"/>
      <c r="X13" s="4"/>
      <c r="Y13" s="4"/>
      <c r="Z13" s="4"/>
    </row>
    <row r="14" ht="19.5" customHeight="1">
      <c r="A14" s="15">
        <v>12.0</v>
      </c>
      <c r="B14" s="16"/>
      <c r="C14" s="17"/>
      <c r="D14" s="18">
        <f t="array" ref="D14">B14-C14</f>
        <v>0</v>
      </c>
      <c r="E14" s="20">
        <v>50000.0</v>
      </c>
      <c r="F14" s="19">
        <f t="array" ref="F14">B14-C14-E14</f>
        <v>-50000</v>
      </c>
      <c r="G14" s="4"/>
      <c r="H14" s="4"/>
      <c r="I14" s="4"/>
      <c r="J14" s="4"/>
      <c r="K14" s="4"/>
      <c r="L14" s="4"/>
      <c r="M14" s="4"/>
      <c r="N14" s="4"/>
      <c r="O14" s="4"/>
      <c r="P14" s="4"/>
      <c r="Q14" s="4"/>
      <c r="R14" s="4"/>
      <c r="S14" s="4"/>
      <c r="T14" s="4"/>
      <c r="U14" s="4"/>
      <c r="V14" s="4"/>
      <c r="W14" s="4"/>
      <c r="X14" s="4"/>
      <c r="Y14" s="4"/>
      <c r="Z14" s="4"/>
    </row>
    <row r="15" ht="19.5" customHeight="1">
      <c r="A15" s="15">
        <v>13.0</v>
      </c>
      <c r="B15" s="24">
        <v>634900.0</v>
      </c>
      <c r="C15" s="20">
        <v>380235.0</v>
      </c>
      <c r="D15" s="18">
        <f t="array" ref="D15">B15-C15</f>
        <v>254665</v>
      </c>
      <c r="E15" s="20">
        <v>80000.0</v>
      </c>
      <c r="F15" s="19">
        <f t="array" ref="F15">B15-C15-E15</f>
        <v>174665</v>
      </c>
      <c r="G15" s="4"/>
      <c r="H15" s="4"/>
      <c r="I15" s="4"/>
      <c r="J15" s="4"/>
      <c r="K15" s="4"/>
      <c r="L15" s="4"/>
      <c r="M15" s="4"/>
      <c r="N15" s="4"/>
      <c r="O15" s="4"/>
      <c r="P15" s="4"/>
      <c r="Q15" s="4"/>
      <c r="R15" s="4"/>
      <c r="S15" s="4"/>
      <c r="T15" s="4"/>
      <c r="U15" s="4"/>
      <c r="V15" s="4"/>
      <c r="W15" s="4"/>
      <c r="X15" s="4"/>
      <c r="Y15" s="4"/>
      <c r="Z15" s="4"/>
    </row>
    <row r="16" ht="19.5" customHeight="1">
      <c r="A16" s="15">
        <v>14.0</v>
      </c>
      <c r="B16" s="24">
        <v>225500.0</v>
      </c>
      <c r="C16" s="20">
        <v>130000.0</v>
      </c>
      <c r="D16" s="18">
        <f t="array" ref="D16">B16-C16</f>
        <v>95500</v>
      </c>
      <c r="E16" s="20">
        <v>70000.0</v>
      </c>
      <c r="F16" s="19">
        <f t="array" ref="F16">B16-C16-E16</f>
        <v>25500</v>
      </c>
      <c r="G16" s="4"/>
      <c r="H16" s="4"/>
      <c r="I16" s="4"/>
      <c r="J16" s="4"/>
      <c r="K16" s="4"/>
      <c r="L16" s="4"/>
      <c r="M16" s="4"/>
      <c r="N16" s="4"/>
      <c r="O16" s="4"/>
      <c r="P16" s="4"/>
      <c r="Q16" s="4"/>
      <c r="R16" s="4"/>
      <c r="S16" s="4"/>
      <c r="T16" s="4"/>
      <c r="U16" s="4"/>
      <c r="V16" s="4"/>
      <c r="W16" s="4"/>
      <c r="X16" s="4"/>
      <c r="Y16" s="4"/>
      <c r="Z16" s="4"/>
    </row>
    <row r="17" ht="19.5" customHeight="1">
      <c r="A17" s="15">
        <v>15.0</v>
      </c>
      <c r="B17" s="16"/>
      <c r="C17" s="17"/>
      <c r="D17" s="18">
        <f t="array" ref="D17">B17-C17</f>
        <v>0</v>
      </c>
      <c r="E17" s="20"/>
      <c r="F17" s="19">
        <f t="array" ref="F17">B17-C17-E17</f>
        <v>0</v>
      </c>
      <c r="G17" s="4"/>
      <c r="H17" s="4"/>
      <c r="I17" s="4"/>
      <c r="J17" s="4"/>
      <c r="K17" s="4"/>
      <c r="L17" s="4"/>
      <c r="M17" s="4"/>
      <c r="N17" s="4"/>
      <c r="O17" s="4"/>
      <c r="P17" s="4"/>
      <c r="Q17" s="4"/>
      <c r="R17" s="4"/>
      <c r="S17" s="4"/>
      <c r="T17" s="4"/>
      <c r="U17" s="4"/>
      <c r="V17" s="4"/>
      <c r="W17" s="4"/>
      <c r="X17" s="4"/>
      <c r="Y17" s="4"/>
      <c r="Z17" s="4"/>
    </row>
    <row r="18" ht="19.5" customHeight="1">
      <c r="A18" s="15">
        <v>16.0</v>
      </c>
      <c r="B18" s="24"/>
      <c r="C18" s="20"/>
      <c r="D18" s="18">
        <f t="array" ref="D18">B18-C18</f>
        <v>0</v>
      </c>
      <c r="E18" s="20">
        <v>129580.0</v>
      </c>
      <c r="F18" s="19">
        <f t="array" ref="F18">B18-C18-E18</f>
        <v>-129580</v>
      </c>
      <c r="G18" s="4"/>
      <c r="H18" s="4"/>
      <c r="I18" s="4"/>
      <c r="J18" s="4"/>
      <c r="K18" s="4"/>
      <c r="L18" s="4"/>
      <c r="M18" s="4"/>
      <c r="N18" s="4"/>
      <c r="O18" s="4"/>
      <c r="P18" s="4"/>
      <c r="Q18" s="4"/>
      <c r="R18" s="4"/>
      <c r="S18" s="4"/>
      <c r="T18" s="4"/>
      <c r="U18" s="4"/>
      <c r="V18" s="4"/>
      <c r="W18" s="4"/>
      <c r="X18" s="4"/>
      <c r="Y18" s="4"/>
      <c r="Z18" s="4"/>
    </row>
    <row r="19" ht="19.5" customHeight="1">
      <c r="A19" s="15">
        <v>17.0</v>
      </c>
      <c r="B19" s="24">
        <v>350000.0</v>
      </c>
      <c r="C19" s="20">
        <v>195000.0</v>
      </c>
      <c r="D19" s="18">
        <f t="array" ref="D19">B19-C19</f>
        <v>155000</v>
      </c>
      <c r="E19" s="20">
        <v>90000.0</v>
      </c>
      <c r="F19" s="19">
        <f t="array" ref="F19">B19-C19-E19</f>
        <v>65000</v>
      </c>
      <c r="G19" s="4"/>
      <c r="H19" s="4"/>
      <c r="I19" s="4"/>
      <c r="J19" s="4"/>
      <c r="K19" s="4"/>
      <c r="L19" s="4"/>
      <c r="M19" s="4"/>
      <c r="N19" s="4"/>
      <c r="O19" s="4"/>
      <c r="P19" s="4"/>
      <c r="Q19" s="4"/>
      <c r="R19" s="4"/>
      <c r="S19" s="4"/>
      <c r="T19" s="4"/>
      <c r="U19" s="4"/>
      <c r="V19" s="4"/>
      <c r="W19" s="4"/>
      <c r="X19" s="4"/>
      <c r="Y19" s="4"/>
      <c r="Z19" s="4"/>
    </row>
    <row r="20" ht="19.5" customHeight="1">
      <c r="A20" s="15">
        <v>18.0</v>
      </c>
      <c r="B20" s="24">
        <v>196900.0</v>
      </c>
      <c r="C20" s="20">
        <v>164000.0</v>
      </c>
      <c r="D20" s="18">
        <f>B20-C20</f>
        <v>32900</v>
      </c>
      <c r="E20" s="20">
        <v>80000.0</v>
      </c>
      <c r="F20" s="19">
        <f t="array" ref="F20">B20-C20-E20</f>
        <v>-47100</v>
      </c>
      <c r="G20" s="4"/>
      <c r="H20" s="4"/>
      <c r="I20" s="4"/>
      <c r="J20" s="4"/>
      <c r="K20" s="4"/>
      <c r="L20" s="4"/>
      <c r="M20" s="4"/>
      <c r="N20" s="4"/>
      <c r="O20" s="4"/>
      <c r="P20" s="4"/>
      <c r="Q20" s="4"/>
      <c r="R20" s="4"/>
      <c r="S20" s="4"/>
      <c r="T20" s="4"/>
      <c r="U20" s="4"/>
      <c r="V20" s="4"/>
      <c r="W20" s="4"/>
      <c r="X20" s="4"/>
      <c r="Y20" s="4"/>
      <c r="Z20" s="4"/>
    </row>
    <row r="21" ht="19.5" customHeight="1">
      <c r="A21" s="15">
        <v>19.0</v>
      </c>
      <c r="B21" s="24">
        <v>226900.0</v>
      </c>
      <c r="C21" s="20">
        <v>131000.0</v>
      </c>
      <c r="D21" s="18">
        <f t="array" ref="D21">B21-C21</f>
        <v>95900</v>
      </c>
      <c r="E21" s="20">
        <v>80000.0</v>
      </c>
      <c r="F21" s="19">
        <f t="array" ref="F21">B21-C21-E21</f>
        <v>15900</v>
      </c>
      <c r="G21" s="4"/>
      <c r="H21" s="4"/>
      <c r="I21" s="4"/>
      <c r="J21" s="4"/>
      <c r="K21" s="4"/>
      <c r="L21" s="4"/>
      <c r="M21" s="4"/>
      <c r="N21" s="4"/>
      <c r="O21" s="4"/>
      <c r="P21" s="4"/>
      <c r="Q21" s="4"/>
      <c r="R21" s="4"/>
      <c r="S21" s="4"/>
      <c r="T21" s="4"/>
      <c r="U21" s="4"/>
      <c r="V21" s="4"/>
      <c r="W21" s="4"/>
      <c r="X21" s="4"/>
      <c r="Y21" s="4"/>
      <c r="Z21" s="4"/>
    </row>
    <row r="22" ht="19.5" customHeight="1">
      <c r="A22" s="15">
        <v>20.0</v>
      </c>
      <c r="B22" s="24">
        <v>122500.0</v>
      </c>
      <c r="C22" s="20">
        <v>70000.0</v>
      </c>
      <c r="D22" s="18">
        <f t="array" ref="D22">B22-C22</f>
        <v>52500</v>
      </c>
      <c r="E22" s="20">
        <v>80000.0</v>
      </c>
      <c r="F22" s="19">
        <f t="array" ref="F22">B22-C22-E22</f>
        <v>-27500</v>
      </c>
      <c r="G22" s="4"/>
      <c r="H22" s="4"/>
      <c r="I22" s="4"/>
      <c r="J22" s="4"/>
      <c r="K22" s="4"/>
      <c r="L22" s="4"/>
      <c r="M22" s="4"/>
      <c r="N22" s="4"/>
      <c r="O22" s="4"/>
      <c r="P22" s="4"/>
      <c r="Q22" s="4"/>
      <c r="R22" s="4"/>
      <c r="S22" s="4"/>
      <c r="T22" s="4"/>
      <c r="U22" s="4"/>
      <c r="V22" s="4"/>
      <c r="W22" s="4"/>
      <c r="X22" s="4"/>
      <c r="Y22" s="4"/>
      <c r="Z22" s="4"/>
    </row>
    <row r="23" ht="19.5" customHeight="1">
      <c r="A23" s="15">
        <v>21.0</v>
      </c>
      <c r="B23" s="24">
        <v>516250.0</v>
      </c>
      <c r="C23" s="20">
        <v>295000.0</v>
      </c>
      <c r="D23" s="18">
        <f t="array" ref="D23">B23-C23</f>
        <v>221250</v>
      </c>
      <c r="E23" s="20">
        <v>275783.0</v>
      </c>
      <c r="F23" s="19">
        <f t="array" ref="F23">B23-C23-E23</f>
        <v>-54533</v>
      </c>
      <c r="G23" s="4"/>
      <c r="H23" s="4"/>
      <c r="I23" s="4"/>
      <c r="J23" s="4"/>
      <c r="K23" s="4"/>
      <c r="L23" s="4"/>
      <c r="M23" s="4"/>
      <c r="N23" s="4"/>
      <c r="O23" s="4"/>
      <c r="P23" s="4"/>
      <c r="Q23" s="4"/>
      <c r="R23" s="4"/>
      <c r="S23" s="4"/>
      <c r="T23" s="4"/>
      <c r="U23" s="4"/>
      <c r="V23" s="4"/>
      <c r="W23" s="4"/>
      <c r="X23" s="4"/>
      <c r="Y23" s="4"/>
      <c r="Z23" s="4"/>
    </row>
    <row r="24" ht="19.5" customHeight="1">
      <c r="A24" s="15">
        <v>22.0</v>
      </c>
      <c r="B24" s="16"/>
      <c r="C24" s="17"/>
      <c r="D24" s="18">
        <f t="array" ref="D24">B24-C24</f>
        <v>0</v>
      </c>
      <c r="E24" s="17"/>
      <c r="F24" s="19">
        <f t="array" ref="F24">B24-C24-E24</f>
        <v>0</v>
      </c>
      <c r="G24" s="4"/>
      <c r="H24" s="4"/>
      <c r="I24" s="4"/>
      <c r="J24" s="4"/>
      <c r="K24" s="4"/>
      <c r="L24" s="4"/>
      <c r="M24" s="4"/>
      <c r="N24" s="4"/>
      <c r="O24" s="4"/>
      <c r="P24" s="4"/>
      <c r="Q24" s="4"/>
      <c r="R24" s="4"/>
      <c r="S24" s="4"/>
      <c r="T24" s="4"/>
      <c r="U24" s="4"/>
      <c r="V24" s="4"/>
      <c r="W24" s="4"/>
      <c r="X24" s="4"/>
      <c r="Y24" s="4"/>
      <c r="Z24" s="4"/>
    </row>
    <row r="25" ht="19.5" customHeight="1">
      <c r="A25" s="15">
        <v>23.0</v>
      </c>
      <c r="B25" s="24">
        <v>638750.0</v>
      </c>
      <c r="C25" s="20">
        <v>365000.0</v>
      </c>
      <c r="D25" s="18">
        <f t="array" ref="D25">B25-C25</f>
        <v>273750</v>
      </c>
      <c r="E25" s="20">
        <v>95000.0</v>
      </c>
      <c r="F25" s="19">
        <f t="array" ref="F25">B25-C25-E25</f>
        <v>178750</v>
      </c>
      <c r="G25" s="4"/>
      <c r="H25" s="4"/>
      <c r="I25" s="4"/>
      <c r="J25" s="4"/>
      <c r="K25" s="4"/>
      <c r="L25" s="4"/>
      <c r="M25" s="4"/>
      <c r="N25" s="4"/>
      <c r="O25" s="4"/>
      <c r="P25" s="4"/>
      <c r="Q25" s="4"/>
      <c r="R25" s="4"/>
      <c r="S25" s="4"/>
      <c r="T25" s="4"/>
      <c r="U25" s="4"/>
      <c r="V25" s="4"/>
      <c r="W25" s="4"/>
      <c r="X25" s="4"/>
      <c r="Y25" s="4"/>
      <c r="Z25" s="4"/>
    </row>
    <row r="26" ht="19.5" customHeight="1">
      <c r="A26" s="15">
        <v>24.0</v>
      </c>
      <c r="B26" s="24">
        <v>213500.0</v>
      </c>
      <c r="C26" s="20">
        <v>122000.0</v>
      </c>
      <c r="D26" s="18">
        <f t="array" ref="D26">B26-C26</f>
        <v>91500</v>
      </c>
      <c r="E26" s="20">
        <v>541000.0</v>
      </c>
      <c r="F26" s="19">
        <f t="array" ref="F26">B26-C26-E26</f>
        <v>-449500</v>
      </c>
      <c r="G26" s="4"/>
      <c r="H26" s="4"/>
      <c r="I26" s="4"/>
      <c r="J26" s="4"/>
      <c r="K26" s="4"/>
      <c r="L26" s="4"/>
      <c r="M26" s="4"/>
      <c r="N26" s="4"/>
      <c r="O26" s="4"/>
      <c r="P26" s="4"/>
      <c r="Q26" s="4"/>
      <c r="R26" s="4"/>
      <c r="S26" s="4"/>
      <c r="T26" s="4"/>
      <c r="U26" s="4"/>
      <c r="V26" s="4"/>
      <c r="W26" s="4"/>
      <c r="X26" s="4"/>
      <c r="Y26" s="4"/>
      <c r="Z26" s="4"/>
    </row>
    <row r="27" ht="19.5" customHeight="1">
      <c r="A27" s="15">
        <v>25.0</v>
      </c>
      <c r="B27" s="24">
        <v>1245050.0</v>
      </c>
      <c r="C27" s="20">
        <v>750624.0</v>
      </c>
      <c r="D27" s="18">
        <f t="array" ref="D27">B27-C27</f>
        <v>494426</v>
      </c>
      <c r="E27" s="20">
        <v>60000.0</v>
      </c>
      <c r="F27" s="19">
        <f t="array" ref="F27">B27-C27-E27</f>
        <v>434426</v>
      </c>
      <c r="G27" s="4"/>
      <c r="H27" s="4"/>
      <c r="I27" s="4"/>
      <c r="J27" s="4"/>
      <c r="K27" s="4"/>
      <c r="L27" s="4"/>
      <c r="M27" s="4"/>
      <c r="N27" s="4"/>
      <c r="O27" s="4"/>
      <c r="P27" s="4"/>
      <c r="Q27" s="4"/>
      <c r="R27" s="4"/>
      <c r="S27" s="4"/>
      <c r="T27" s="4"/>
      <c r="U27" s="4"/>
      <c r="V27" s="4"/>
      <c r="W27" s="4"/>
      <c r="X27" s="4"/>
      <c r="Y27" s="4"/>
      <c r="Z27" s="4"/>
    </row>
    <row r="28" ht="19.5" customHeight="1">
      <c r="A28" s="15">
        <v>26.0</v>
      </c>
      <c r="B28" s="24">
        <v>806750.0</v>
      </c>
      <c r="C28" s="20">
        <v>461000.0</v>
      </c>
      <c r="D28" s="18">
        <f t="array" ref="D28">B28-C28</f>
        <v>345750</v>
      </c>
      <c r="E28" s="20">
        <v>80000.0</v>
      </c>
      <c r="F28" s="19">
        <f t="array" ref="F28">B28-C28-E28</f>
        <v>265750</v>
      </c>
      <c r="G28" s="4"/>
      <c r="H28" s="4"/>
      <c r="I28" s="4"/>
      <c r="J28" s="4"/>
      <c r="K28" s="4"/>
      <c r="L28" s="4"/>
      <c r="M28" s="4"/>
      <c r="N28" s="4"/>
      <c r="O28" s="4"/>
      <c r="P28" s="4"/>
      <c r="Q28" s="4"/>
      <c r="R28" s="4"/>
      <c r="S28" s="4"/>
      <c r="T28" s="4"/>
      <c r="U28" s="4"/>
      <c r="V28" s="4"/>
      <c r="W28" s="4"/>
      <c r="X28" s="4"/>
      <c r="Y28" s="4"/>
      <c r="Z28" s="4"/>
    </row>
    <row r="29" ht="19.5" customHeight="1">
      <c r="A29" s="15">
        <v>27.0</v>
      </c>
      <c r="B29" s="24">
        <v>1471050.0</v>
      </c>
      <c r="C29" s="20">
        <v>844000.0</v>
      </c>
      <c r="D29" s="18">
        <f t="array" ref="D29">B29-C29</f>
        <v>627050</v>
      </c>
      <c r="E29" s="20">
        <v>100000.0</v>
      </c>
      <c r="F29" s="19">
        <f t="array" ref="F29">B29-C29-E29</f>
        <v>527050</v>
      </c>
      <c r="G29" s="4"/>
      <c r="H29" s="4"/>
      <c r="I29" s="4"/>
      <c r="J29" s="4"/>
      <c r="K29" s="4"/>
      <c r="L29" s="4"/>
      <c r="M29" s="4"/>
      <c r="N29" s="4"/>
      <c r="O29" s="4"/>
      <c r="P29" s="4"/>
      <c r="Q29" s="4"/>
      <c r="R29" s="4"/>
      <c r="S29" s="4"/>
      <c r="T29" s="4"/>
      <c r="U29" s="4"/>
      <c r="V29" s="4"/>
      <c r="W29" s="4"/>
      <c r="X29" s="4"/>
      <c r="Y29" s="4"/>
      <c r="Z29" s="4"/>
    </row>
    <row r="30" ht="19.5" customHeight="1">
      <c r="A30" s="15">
        <v>28.0</v>
      </c>
      <c r="B30" s="16"/>
      <c r="C30" s="17"/>
      <c r="D30" s="18">
        <f t="array" ref="D30">B30-C30</f>
        <v>0</v>
      </c>
      <c r="E30" s="20">
        <v>70000.0</v>
      </c>
      <c r="F30" s="19">
        <f t="array" ref="F30">B30-C30-E30</f>
        <v>-70000</v>
      </c>
      <c r="G30" s="4"/>
      <c r="H30" s="4"/>
      <c r="I30" s="4"/>
      <c r="J30" s="4"/>
      <c r="K30" s="4"/>
      <c r="L30" s="4"/>
      <c r="M30" s="4"/>
      <c r="N30" s="4"/>
      <c r="O30" s="4"/>
      <c r="P30" s="4"/>
      <c r="Q30" s="4"/>
      <c r="R30" s="4"/>
      <c r="S30" s="4"/>
      <c r="T30" s="4"/>
      <c r="U30" s="4"/>
      <c r="V30" s="4"/>
      <c r="W30" s="4"/>
      <c r="X30" s="4"/>
      <c r="Y30" s="4"/>
      <c r="Z30" s="4"/>
    </row>
    <row r="31" ht="19.5" customHeight="1">
      <c r="A31" s="15">
        <v>29.0</v>
      </c>
      <c r="B31" s="16"/>
      <c r="C31" s="17"/>
      <c r="D31" s="18">
        <f t="array" ref="D31">B31-C31</f>
        <v>0</v>
      </c>
      <c r="E31" s="17"/>
      <c r="F31" s="19">
        <f t="array" ref="F31">B31-C31-E31</f>
        <v>0</v>
      </c>
      <c r="G31" s="4"/>
      <c r="H31" s="4"/>
      <c r="I31" s="4"/>
      <c r="J31" s="4"/>
      <c r="K31" s="4"/>
      <c r="L31" s="4"/>
      <c r="M31" s="4"/>
      <c r="N31" s="4"/>
      <c r="O31" s="4"/>
      <c r="P31" s="4"/>
      <c r="Q31" s="4"/>
      <c r="R31" s="4"/>
      <c r="S31" s="4"/>
      <c r="T31" s="4"/>
      <c r="U31" s="4"/>
      <c r="V31" s="4"/>
      <c r="W31" s="4"/>
      <c r="X31" s="4"/>
      <c r="Y31" s="4"/>
      <c r="Z31" s="4"/>
    </row>
    <row r="32" ht="19.5" customHeight="1">
      <c r="A32" s="15">
        <v>30.0</v>
      </c>
      <c r="B32" s="16"/>
      <c r="C32" s="17"/>
      <c r="D32" s="18">
        <f t="array" ref="D32">B32-C32</f>
        <v>0</v>
      </c>
      <c r="E32" s="20">
        <v>100000.0</v>
      </c>
      <c r="F32" s="19">
        <f t="array" ref="F32">B32-C32-E32</f>
        <v>-100000</v>
      </c>
      <c r="G32" s="4"/>
      <c r="H32" s="4"/>
      <c r="I32" s="4"/>
      <c r="J32" s="4"/>
      <c r="K32" s="4"/>
      <c r="L32" s="4"/>
      <c r="M32" s="4"/>
      <c r="N32" s="4"/>
      <c r="O32" s="4"/>
      <c r="P32" s="4"/>
      <c r="Q32" s="4"/>
      <c r="R32" s="4"/>
      <c r="S32" s="4"/>
      <c r="T32" s="4"/>
      <c r="U32" s="4"/>
      <c r="V32" s="4"/>
      <c r="W32" s="4"/>
      <c r="X32" s="4"/>
      <c r="Y32" s="4"/>
      <c r="Z32" s="4"/>
    </row>
    <row r="33" ht="19.5" customHeight="1">
      <c r="A33" s="15">
        <v>31.0</v>
      </c>
      <c r="B33" s="16"/>
      <c r="C33" s="17"/>
      <c r="D33" s="18">
        <f t="array" ref="D33">B33-C33</f>
        <v>0</v>
      </c>
      <c r="E33" s="17"/>
      <c r="F33" s="19">
        <f t="array" ref="F33">B33-C33-E33</f>
        <v>0</v>
      </c>
      <c r="G33" s="4"/>
      <c r="H33" s="4"/>
      <c r="I33" s="4"/>
      <c r="J33" s="4"/>
      <c r="K33" s="4"/>
      <c r="L33" s="4"/>
      <c r="M33" s="4"/>
      <c r="N33" s="4"/>
      <c r="O33" s="4"/>
      <c r="P33" s="4"/>
      <c r="Q33" s="4"/>
      <c r="R33" s="4"/>
      <c r="S33" s="4"/>
      <c r="T33" s="4"/>
      <c r="U33" s="4"/>
      <c r="V33" s="4"/>
      <c r="W33" s="4"/>
      <c r="X33" s="4"/>
      <c r="Y33" s="4"/>
      <c r="Z33" s="4"/>
    </row>
    <row r="34" ht="19.5" customHeight="1">
      <c r="A34" s="25" t="s">
        <v>29</v>
      </c>
      <c r="B34" s="26">
        <f t="array" ref="B34">SUM(B3:B33)</f>
        <v>10723800</v>
      </c>
      <c r="C34" s="27">
        <f t="array" ref="C34">SUM(C3:C33)</f>
        <v>6261759</v>
      </c>
      <c r="D34" s="28">
        <f t="array" ref="D34">SUM(D3:D33)</f>
        <v>4462041</v>
      </c>
      <c r="E34" s="27">
        <f t="array" ref="E34">SUM(E3:E33)</f>
        <v>4060363</v>
      </c>
      <c r="F34" s="29">
        <f t="array" ref="F34">SUM(F3:F33)</f>
        <v>401678</v>
      </c>
      <c r="G34" s="4"/>
      <c r="H34" s="4"/>
      <c r="I34" s="4"/>
      <c r="J34" s="4"/>
      <c r="K34" s="4"/>
      <c r="L34" s="4"/>
      <c r="M34" s="4"/>
      <c r="N34" s="4"/>
      <c r="O34" s="4"/>
      <c r="P34" s="4"/>
      <c r="Q34" s="4"/>
      <c r="R34" s="4"/>
      <c r="S34" s="4"/>
      <c r="T34" s="4"/>
      <c r="U34" s="4"/>
      <c r="V34" s="4"/>
      <c r="W34" s="4"/>
      <c r="X34" s="4"/>
      <c r="Y34" s="4"/>
      <c r="Z34" s="4"/>
    </row>
    <row r="35" ht="19.5" customHeight="1">
      <c r="A35" s="15"/>
      <c r="B35" s="30"/>
      <c r="C35" s="32" t="s">
        <v>31</v>
      </c>
      <c r="D35" s="17"/>
      <c r="E35" s="17"/>
      <c r="F35" s="17"/>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F1"/>
  </mergeCells>
  <printOptions/>
  <pageMargins bottom="1.0" footer="0.0" header="0.0" left="1.0" right="1.0" top="1.0"/>
  <pageSetup orientation="portrait"/>
  <headerFooter>
    <oddFooter>&amp;C000000&amp;P</oddFooter>
  </headerFooter>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6" width="16.29"/>
  </cols>
  <sheetData>
    <row r="1" ht="19.5" customHeight="1">
      <c r="A1" s="2" t="s">
        <v>1</v>
      </c>
      <c r="G1" s="4"/>
      <c r="H1" s="4"/>
      <c r="I1" s="4"/>
      <c r="J1" s="4"/>
      <c r="K1" s="4"/>
      <c r="L1" s="4"/>
      <c r="M1" s="4"/>
      <c r="N1" s="4"/>
      <c r="O1" s="4"/>
      <c r="P1" s="4"/>
      <c r="Q1" s="4"/>
      <c r="R1" s="4"/>
      <c r="S1" s="4"/>
      <c r="T1" s="4"/>
      <c r="U1" s="4"/>
      <c r="V1" s="4"/>
      <c r="W1" s="4"/>
      <c r="X1" s="4"/>
      <c r="Y1" s="4"/>
      <c r="Z1" s="4"/>
    </row>
    <row r="2" ht="19.5" customHeight="1">
      <c r="A2" s="34">
        <v>46174.0</v>
      </c>
      <c r="B2" s="8" t="s">
        <v>7</v>
      </c>
      <c r="C2" s="8" t="s">
        <v>8</v>
      </c>
      <c r="D2" s="8" t="s">
        <v>9</v>
      </c>
      <c r="E2" s="8" t="s">
        <v>10</v>
      </c>
      <c r="F2" s="8" t="s">
        <v>11</v>
      </c>
      <c r="G2" s="4"/>
      <c r="H2" s="4"/>
      <c r="I2" s="4"/>
      <c r="J2" s="4"/>
      <c r="K2" s="4"/>
      <c r="L2" s="4"/>
      <c r="M2" s="4"/>
      <c r="N2" s="4"/>
      <c r="O2" s="4"/>
      <c r="P2" s="4"/>
      <c r="Q2" s="4"/>
      <c r="R2" s="4"/>
      <c r="S2" s="4"/>
      <c r="T2" s="4"/>
      <c r="U2" s="4"/>
      <c r="V2" s="4"/>
      <c r="W2" s="4"/>
      <c r="X2" s="4"/>
      <c r="Y2" s="4"/>
      <c r="Z2" s="4"/>
    </row>
    <row r="3" ht="19.5" customHeight="1">
      <c r="A3" s="10">
        <v>1.0</v>
      </c>
      <c r="B3" s="35">
        <v>672500.0</v>
      </c>
      <c r="C3" s="21">
        <v>447000.0</v>
      </c>
      <c r="D3" s="13">
        <f t="array" ref="D3">B3-C3</f>
        <v>225500</v>
      </c>
      <c r="E3" s="21">
        <v>70000.0</v>
      </c>
      <c r="F3" s="14">
        <f t="array" ref="F3">B3-C3-E3</f>
        <v>155500</v>
      </c>
      <c r="G3" s="4"/>
      <c r="H3" s="4"/>
      <c r="I3" s="4"/>
      <c r="J3" s="4"/>
      <c r="K3" s="4"/>
      <c r="L3" s="4"/>
      <c r="M3" s="4"/>
      <c r="N3" s="4"/>
      <c r="O3" s="4"/>
      <c r="P3" s="4"/>
      <c r="Q3" s="4"/>
      <c r="R3" s="4"/>
      <c r="S3" s="4"/>
      <c r="T3" s="4"/>
      <c r="U3" s="4"/>
      <c r="V3" s="4"/>
      <c r="W3" s="4"/>
      <c r="X3" s="4"/>
      <c r="Y3" s="4"/>
      <c r="Z3" s="4"/>
    </row>
    <row r="4" ht="19.5" customHeight="1">
      <c r="A4" s="15">
        <v>2.0</v>
      </c>
      <c r="B4" s="24">
        <v>332500.0</v>
      </c>
      <c r="C4" s="20">
        <v>190000.0</v>
      </c>
      <c r="D4" s="18">
        <f t="array" ref="D4">B4-C4</f>
        <v>142500</v>
      </c>
      <c r="E4" s="20">
        <v>139900.0</v>
      </c>
      <c r="F4" s="14">
        <f t="array" ref="F4">B4-C4-E4</f>
        <v>2600</v>
      </c>
      <c r="G4" s="4"/>
      <c r="H4" s="4"/>
      <c r="I4" s="4"/>
      <c r="J4" s="4"/>
      <c r="K4" s="4"/>
      <c r="L4" s="4"/>
      <c r="M4" s="4"/>
      <c r="N4" s="4"/>
      <c r="O4" s="4"/>
      <c r="P4" s="4"/>
      <c r="Q4" s="4"/>
      <c r="R4" s="4"/>
      <c r="S4" s="4"/>
      <c r="T4" s="4"/>
      <c r="U4" s="4"/>
      <c r="V4" s="4"/>
      <c r="W4" s="4"/>
      <c r="X4" s="4"/>
      <c r="Y4" s="4"/>
      <c r="Z4" s="4"/>
    </row>
    <row r="5" ht="19.5" customHeight="1">
      <c r="A5" s="15">
        <v>3.0</v>
      </c>
      <c r="B5" s="24">
        <v>1002750.0</v>
      </c>
      <c r="C5" s="20">
        <v>568000.0</v>
      </c>
      <c r="D5" s="18">
        <f t="array" ref="D5">B5-C5</f>
        <v>434750</v>
      </c>
      <c r="E5" s="20">
        <v>180000.0</v>
      </c>
      <c r="F5" s="19">
        <f t="array" ref="F5">B5-C5-E5</f>
        <v>254750</v>
      </c>
      <c r="G5" s="4"/>
      <c r="H5" s="4"/>
      <c r="I5" s="4"/>
      <c r="J5" s="4"/>
      <c r="K5" s="4"/>
      <c r="L5" s="4"/>
      <c r="M5" s="4"/>
      <c r="N5" s="4"/>
      <c r="O5" s="4"/>
      <c r="P5" s="4"/>
      <c r="Q5" s="4"/>
      <c r="R5" s="4"/>
      <c r="S5" s="4"/>
      <c r="T5" s="4"/>
      <c r="U5" s="4"/>
      <c r="V5" s="4"/>
      <c r="W5" s="4"/>
      <c r="X5" s="4"/>
      <c r="Y5" s="4"/>
      <c r="Z5" s="4"/>
    </row>
    <row r="6" ht="19.5" customHeight="1">
      <c r="A6" s="15">
        <v>4.0</v>
      </c>
      <c r="B6" s="24">
        <v>1373750.0</v>
      </c>
      <c r="C6" s="20">
        <v>800000.0</v>
      </c>
      <c r="D6" s="18">
        <f t="array" ref="D6">B6-C6</f>
        <v>573750</v>
      </c>
      <c r="E6" s="20">
        <v>80000.0</v>
      </c>
      <c r="F6" s="19">
        <f t="array" ref="F6">B6-C6-E6</f>
        <v>493750</v>
      </c>
      <c r="G6" s="4"/>
      <c r="H6" s="4"/>
      <c r="I6" s="4"/>
      <c r="J6" s="4"/>
      <c r="K6" s="4"/>
      <c r="L6" s="4"/>
      <c r="M6" s="4"/>
      <c r="N6" s="4"/>
      <c r="O6" s="4"/>
      <c r="P6" s="4"/>
      <c r="Q6" s="4"/>
      <c r="R6" s="4"/>
      <c r="S6" s="4"/>
      <c r="T6" s="4"/>
      <c r="U6" s="4"/>
      <c r="V6" s="4"/>
      <c r="W6" s="4"/>
      <c r="X6" s="4"/>
      <c r="Y6" s="4"/>
      <c r="Z6" s="4"/>
    </row>
    <row r="7" ht="19.5" customHeight="1">
      <c r="A7" s="15">
        <v>5.0</v>
      </c>
      <c r="B7" s="24">
        <v>362500.0</v>
      </c>
      <c r="C7" s="20">
        <v>210000.0</v>
      </c>
      <c r="D7" s="18">
        <f t="array" ref="D7">B7-C7</f>
        <v>152500</v>
      </c>
      <c r="E7" s="20">
        <v>70000.0</v>
      </c>
      <c r="F7" s="23">
        <f>B7-C7-E7</f>
        <v>82500</v>
      </c>
      <c r="G7" s="4"/>
      <c r="H7" s="4"/>
      <c r="I7" s="4"/>
      <c r="J7" s="4"/>
      <c r="K7" s="4"/>
      <c r="L7" s="4"/>
      <c r="M7" s="4"/>
      <c r="N7" s="4"/>
      <c r="O7" s="4"/>
      <c r="P7" s="4"/>
      <c r="Q7" s="4"/>
      <c r="R7" s="4"/>
      <c r="S7" s="4"/>
      <c r="T7" s="4"/>
      <c r="U7" s="4"/>
      <c r="V7" s="4"/>
      <c r="W7" s="4"/>
      <c r="X7" s="4"/>
      <c r="Y7" s="4"/>
      <c r="Z7" s="4"/>
    </row>
    <row r="8" ht="19.5" customHeight="1">
      <c r="A8" s="15">
        <v>6.0</v>
      </c>
      <c r="B8" s="16"/>
      <c r="C8" s="17"/>
      <c r="D8" s="18">
        <f t="array" ref="D8">B8-C8</f>
        <v>0</v>
      </c>
      <c r="E8" s="20"/>
      <c r="F8" s="19">
        <f t="array" ref="F8">B8-C8-E8</f>
        <v>0</v>
      </c>
      <c r="G8" s="4"/>
      <c r="H8" s="4"/>
      <c r="I8" s="4"/>
      <c r="J8" s="4"/>
      <c r="K8" s="4"/>
      <c r="L8" s="4"/>
      <c r="M8" s="4"/>
      <c r="N8" s="4"/>
      <c r="O8" s="4"/>
      <c r="P8" s="4"/>
      <c r="Q8" s="4"/>
      <c r="R8" s="4"/>
      <c r="S8" s="4"/>
      <c r="T8" s="4"/>
      <c r="U8" s="4"/>
      <c r="V8" s="4"/>
      <c r="W8" s="4"/>
      <c r="X8" s="4"/>
      <c r="Y8" s="4"/>
      <c r="Z8" s="4"/>
    </row>
    <row r="9" ht="19.5" customHeight="1">
      <c r="A9" s="15">
        <v>7.0</v>
      </c>
      <c r="B9" s="24">
        <v>236250.0</v>
      </c>
      <c r="C9" s="20">
        <v>150000.0</v>
      </c>
      <c r="D9" s="18">
        <f t="array" ref="D9">B9-C9</f>
        <v>86250</v>
      </c>
      <c r="E9" s="20">
        <v>80000.0</v>
      </c>
      <c r="F9" s="19">
        <f t="array" ref="F9">B9-C9-E9</f>
        <v>6250</v>
      </c>
      <c r="G9" s="4"/>
      <c r="H9" s="4"/>
      <c r="I9" s="4"/>
      <c r="J9" s="4"/>
      <c r="K9" s="4"/>
      <c r="L9" s="4"/>
      <c r="M9" s="4"/>
      <c r="N9" s="4"/>
      <c r="O9" s="4"/>
      <c r="P9" s="4"/>
      <c r="Q9" s="4"/>
      <c r="R9" s="4"/>
      <c r="S9" s="4"/>
      <c r="T9" s="4"/>
      <c r="U9" s="4"/>
      <c r="V9" s="4"/>
      <c r="W9" s="4"/>
      <c r="X9" s="4"/>
      <c r="Y9" s="4"/>
      <c r="Z9" s="4"/>
    </row>
    <row r="10" ht="19.5" customHeight="1">
      <c r="A10" s="15">
        <v>8.0</v>
      </c>
      <c r="B10" s="24">
        <v>1340500.0</v>
      </c>
      <c r="C10" s="20">
        <v>781000.0</v>
      </c>
      <c r="D10" s="18">
        <f t="array" ref="D10">B10-C10</f>
        <v>559500</v>
      </c>
      <c r="E10" s="20">
        <v>84000.0</v>
      </c>
      <c r="F10" s="19">
        <f t="array" ref="F10">B10-C10-E10</f>
        <v>475500</v>
      </c>
      <c r="G10" s="4"/>
      <c r="H10" s="4"/>
      <c r="I10" s="4"/>
      <c r="J10" s="4"/>
      <c r="K10" s="4"/>
      <c r="L10" s="4"/>
      <c r="M10" s="4"/>
      <c r="N10" s="4"/>
      <c r="O10" s="4"/>
      <c r="P10" s="4"/>
      <c r="Q10" s="4"/>
      <c r="R10" s="4"/>
      <c r="S10" s="4"/>
      <c r="T10" s="4"/>
      <c r="U10" s="4"/>
      <c r="V10" s="4"/>
      <c r="W10" s="4"/>
      <c r="X10" s="4"/>
      <c r="Y10" s="4"/>
      <c r="Z10" s="4"/>
    </row>
    <row r="11" ht="19.5" customHeight="1">
      <c r="A11" s="15">
        <v>9.0</v>
      </c>
      <c r="B11" s="24">
        <v>35000.0</v>
      </c>
      <c r="C11" s="20">
        <v>20000.0</v>
      </c>
      <c r="D11" s="18">
        <f t="array" ref="D11">B11-C11</f>
        <v>15000</v>
      </c>
      <c r="E11" s="20">
        <v>84000.0</v>
      </c>
      <c r="F11" s="19">
        <f t="array" ref="F11">B11-C11-E11</f>
        <v>-69000</v>
      </c>
      <c r="G11" s="4"/>
      <c r="H11" s="4"/>
      <c r="I11" s="4"/>
      <c r="J11" s="4"/>
      <c r="K11" s="4"/>
      <c r="L11" s="4"/>
      <c r="M11" s="4"/>
      <c r="N11" s="4"/>
      <c r="O11" s="4"/>
      <c r="P11" s="4"/>
      <c r="Q11" s="4"/>
      <c r="R11" s="4"/>
      <c r="S11" s="4"/>
      <c r="T11" s="4"/>
      <c r="U11" s="4"/>
      <c r="V11" s="4"/>
      <c r="W11" s="4"/>
      <c r="X11" s="4"/>
      <c r="Y11" s="4"/>
      <c r="Z11" s="4"/>
    </row>
    <row r="12" ht="19.5" customHeight="1">
      <c r="A12" s="15">
        <v>10.0</v>
      </c>
      <c r="B12" s="24">
        <v>437500.0</v>
      </c>
      <c r="C12" s="20">
        <v>250000.0</v>
      </c>
      <c r="D12" s="18">
        <f t="array" ref="D12">B12-C12</f>
        <v>187500</v>
      </c>
      <c r="E12" s="20">
        <v>80000.0</v>
      </c>
      <c r="F12" s="19">
        <f t="array" ref="F12">B12-C12-E12</f>
        <v>107500</v>
      </c>
      <c r="G12" s="4"/>
      <c r="H12" s="4"/>
      <c r="I12" s="4"/>
      <c r="J12" s="4"/>
      <c r="K12" s="4"/>
      <c r="L12" s="4"/>
      <c r="M12" s="4"/>
      <c r="N12" s="4"/>
      <c r="O12" s="4"/>
      <c r="P12" s="4"/>
      <c r="Q12" s="4"/>
      <c r="R12" s="4"/>
      <c r="S12" s="4"/>
      <c r="T12" s="4"/>
      <c r="U12" s="4"/>
      <c r="V12" s="4"/>
      <c r="W12" s="4"/>
      <c r="X12" s="4"/>
      <c r="Y12" s="4"/>
      <c r="Z12" s="4"/>
    </row>
    <row r="13" ht="19.5" customHeight="1">
      <c r="A13" s="15">
        <v>11.0</v>
      </c>
      <c r="B13" s="24">
        <v>1495150.0</v>
      </c>
      <c r="C13" s="20">
        <v>861765.0</v>
      </c>
      <c r="D13" s="18">
        <f t="array" ref="D13">B13-C13</f>
        <v>633385</v>
      </c>
      <c r="E13" s="20">
        <v>92000.0</v>
      </c>
      <c r="F13" s="19">
        <f t="array" ref="F13">B13-C13-E13</f>
        <v>541385</v>
      </c>
      <c r="G13" s="4"/>
      <c r="H13" s="4"/>
      <c r="I13" s="4"/>
      <c r="J13" s="4"/>
      <c r="K13" s="4"/>
      <c r="L13" s="4"/>
      <c r="M13" s="4"/>
      <c r="N13" s="4"/>
      <c r="O13" s="4"/>
      <c r="P13" s="4"/>
      <c r="Q13" s="4"/>
      <c r="R13" s="4"/>
      <c r="S13" s="4"/>
      <c r="T13" s="4"/>
      <c r="U13" s="4"/>
      <c r="V13" s="4"/>
      <c r="W13" s="4"/>
      <c r="X13" s="4"/>
      <c r="Y13" s="4"/>
      <c r="Z13" s="4"/>
    </row>
    <row r="14" ht="19.5" customHeight="1">
      <c r="A14" s="15">
        <v>12.0</v>
      </c>
      <c r="B14" s="24">
        <v>357500.0</v>
      </c>
      <c r="C14" s="20">
        <v>220000.0</v>
      </c>
      <c r="D14" s="18">
        <f t="array" ref="D14">B14-C14</f>
        <v>137500</v>
      </c>
      <c r="E14" s="20">
        <v>70000.0</v>
      </c>
      <c r="F14" s="19">
        <f t="array" ref="F14">B14-C14-E14</f>
        <v>67500</v>
      </c>
      <c r="G14" s="4"/>
      <c r="H14" s="4"/>
      <c r="I14" s="4"/>
      <c r="J14" s="4"/>
      <c r="K14" s="4"/>
      <c r="L14" s="4"/>
      <c r="M14" s="4"/>
      <c r="N14" s="4"/>
      <c r="O14" s="4"/>
      <c r="P14" s="4"/>
      <c r="Q14" s="4"/>
      <c r="R14" s="4"/>
      <c r="S14" s="4"/>
      <c r="T14" s="4"/>
      <c r="U14" s="4"/>
      <c r="V14" s="4"/>
      <c r="W14" s="4"/>
      <c r="X14" s="4"/>
      <c r="Y14" s="4"/>
      <c r="Z14" s="4"/>
    </row>
    <row r="15" ht="19.5" customHeight="1">
      <c r="A15" s="15">
        <v>13.0</v>
      </c>
      <c r="B15" s="16"/>
      <c r="C15" s="17"/>
      <c r="D15" s="18">
        <f t="array" ref="D15">B15-C15</f>
        <v>0</v>
      </c>
      <c r="E15" s="20"/>
      <c r="F15" s="19">
        <f t="array" ref="F15">B15-C15-E15</f>
        <v>0</v>
      </c>
      <c r="G15" s="4"/>
      <c r="H15" s="4"/>
      <c r="I15" s="4"/>
      <c r="J15" s="4"/>
      <c r="K15" s="4"/>
      <c r="L15" s="4"/>
      <c r="M15" s="4"/>
      <c r="N15" s="4"/>
      <c r="O15" s="4"/>
      <c r="P15" s="4"/>
      <c r="Q15" s="4"/>
      <c r="R15" s="4"/>
      <c r="S15" s="4"/>
      <c r="T15" s="4"/>
      <c r="U15" s="4"/>
      <c r="V15" s="4"/>
      <c r="W15" s="4"/>
      <c r="X15" s="4"/>
      <c r="Y15" s="4"/>
      <c r="Z15" s="4"/>
    </row>
    <row r="16" ht="19.5" customHeight="1">
      <c r="A16" s="15">
        <v>14.0</v>
      </c>
      <c r="B16" s="24">
        <v>1027550.0</v>
      </c>
      <c r="C16" s="20">
        <v>600000.0</v>
      </c>
      <c r="D16" s="18">
        <f t="array" ref="D16">B16-C16</f>
        <v>427550</v>
      </c>
      <c r="E16" s="20">
        <v>100000.0</v>
      </c>
      <c r="F16" s="19">
        <f t="array" ref="F16">B16-C16-E16</f>
        <v>327550</v>
      </c>
      <c r="G16" s="4"/>
      <c r="H16" s="4"/>
      <c r="I16" s="4"/>
      <c r="J16" s="4"/>
      <c r="K16" s="4"/>
      <c r="L16" s="4"/>
      <c r="M16" s="4"/>
      <c r="N16" s="4"/>
      <c r="O16" s="4"/>
      <c r="P16" s="4"/>
      <c r="Q16" s="4"/>
      <c r="R16" s="4"/>
      <c r="S16" s="4"/>
      <c r="T16" s="4"/>
      <c r="U16" s="4"/>
      <c r="V16" s="4"/>
      <c r="W16" s="4"/>
      <c r="X16" s="4"/>
      <c r="Y16" s="4"/>
      <c r="Z16" s="4"/>
    </row>
    <row r="17" ht="19.5" customHeight="1">
      <c r="A17" s="15">
        <v>15.0</v>
      </c>
      <c r="B17" s="24">
        <v>195000.0</v>
      </c>
      <c r="C17" s="20">
        <v>110000.0</v>
      </c>
      <c r="D17" s="18">
        <f t="array" ref="D17">B17-C17</f>
        <v>85000</v>
      </c>
      <c r="E17" s="20">
        <v>80000.0</v>
      </c>
      <c r="F17" s="19">
        <f t="array" ref="F17">B17-C17-E17</f>
        <v>5000</v>
      </c>
      <c r="G17" s="4"/>
      <c r="H17" s="4"/>
      <c r="I17" s="4"/>
      <c r="J17" s="4"/>
      <c r="K17" s="4"/>
      <c r="L17" s="4"/>
      <c r="M17" s="4"/>
      <c r="N17" s="4"/>
      <c r="O17" s="4"/>
      <c r="P17" s="4"/>
      <c r="Q17" s="4"/>
      <c r="R17" s="4"/>
      <c r="S17" s="4"/>
      <c r="T17" s="4"/>
      <c r="U17" s="4"/>
      <c r="V17" s="4"/>
      <c r="W17" s="4"/>
      <c r="X17" s="4"/>
      <c r="Y17" s="4"/>
      <c r="Z17" s="4"/>
    </row>
    <row r="18" ht="19.5" customHeight="1">
      <c r="A18" s="15">
        <v>16.0</v>
      </c>
      <c r="B18" s="24">
        <v>1192750.0</v>
      </c>
      <c r="C18" s="20">
        <v>704900.0</v>
      </c>
      <c r="D18" s="18">
        <f t="array" ref="D18">B18-C18</f>
        <v>487850</v>
      </c>
      <c r="E18" s="20">
        <v>80000.0</v>
      </c>
      <c r="F18" s="19">
        <f t="array" ref="F18">B18-C18-E18</f>
        <v>407850</v>
      </c>
      <c r="G18" s="4"/>
      <c r="H18" s="4"/>
      <c r="I18" s="4"/>
      <c r="J18" s="4"/>
      <c r="K18" s="4"/>
      <c r="L18" s="4"/>
      <c r="M18" s="4"/>
      <c r="N18" s="4"/>
      <c r="O18" s="4"/>
      <c r="P18" s="4"/>
      <c r="Q18" s="4"/>
      <c r="R18" s="4"/>
      <c r="S18" s="4"/>
      <c r="T18" s="4"/>
      <c r="U18" s="4"/>
      <c r="V18" s="4"/>
      <c r="W18" s="4"/>
      <c r="X18" s="4"/>
      <c r="Y18" s="4"/>
      <c r="Z18" s="4"/>
    </row>
    <row r="19" ht="19.5" customHeight="1">
      <c r="A19" s="15">
        <v>17.0</v>
      </c>
      <c r="B19" s="24">
        <v>866950.0</v>
      </c>
      <c r="C19" s="20">
        <v>495400.0</v>
      </c>
      <c r="D19" s="18">
        <f t="array" ref="D19">B19-C19</f>
        <v>371550</v>
      </c>
      <c r="E19" s="20">
        <v>95000.0</v>
      </c>
      <c r="F19" s="19">
        <f t="array" ref="F19">B19-C19-E19</f>
        <v>276550</v>
      </c>
      <c r="G19" s="4"/>
      <c r="H19" s="4"/>
      <c r="I19" s="4"/>
      <c r="J19" s="4"/>
      <c r="K19" s="4"/>
      <c r="L19" s="4"/>
      <c r="M19" s="4"/>
      <c r="N19" s="4"/>
      <c r="O19" s="4"/>
      <c r="P19" s="4"/>
      <c r="Q19" s="4"/>
      <c r="R19" s="4"/>
      <c r="S19" s="4"/>
      <c r="T19" s="4"/>
      <c r="U19" s="4"/>
      <c r="V19" s="4"/>
      <c r="W19" s="4"/>
      <c r="X19" s="4"/>
      <c r="Y19" s="4"/>
      <c r="Z19" s="4"/>
    </row>
    <row r="20" ht="19.5" customHeight="1">
      <c r="A20" s="15">
        <v>18.0</v>
      </c>
      <c r="B20" s="24">
        <v>626900.0</v>
      </c>
      <c r="C20" s="20">
        <v>361882.0</v>
      </c>
      <c r="D20" s="18">
        <f t="shared" ref="D20:D21" si="1">B20-C20</f>
        <v>265018</v>
      </c>
      <c r="E20" s="20">
        <v>144350.0</v>
      </c>
      <c r="F20" s="19">
        <f t="array" ref="F20">B20-C20-E20</f>
        <v>120668</v>
      </c>
      <c r="G20" s="4"/>
      <c r="H20" s="4"/>
      <c r="I20" s="4"/>
      <c r="J20" s="4"/>
      <c r="K20" s="4"/>
      <c r="L20" s="4"/>
      <c r="M20" s="4"/>
      <c r="N20" s="4"/>
      <c r="O20" s="4"/>
      <c r="P20" s="4"/>
      <c r="Q20" s="4"/>
      <c r="R20" s="4"/>
      <c r="S20" s="4"/>
      <c r="T20" s="4"/>
      <c r="U20" s="4"/>
      <c r="V20" s="4"/>
      <c r="W20" s="4"/>
      <c r="X20" s="4"/>
      <c r="Y20" s="4"/>
      <c r="Z20" s="4"/>
    </row>
    <row r="21" ht="19.5" customHeight="1">
      <c r="A21" s="15">
        <v>19.0</v>
      </c>
      <c r="B21" s="16"/>
      <c r="C21" s="17"/>
      <c r="D21" s="18">
        <f t="shared" si="1"/>
        <v>0</v>
      </c>
      <c r="E21" s="20">
        <v>180000.0</v>
      </c>
      <c r="F21" s="19">
        <f t="array" ref="F21">B21-C21-E21</f>
        <v>-180000</v>
      </c>
      <c r="G21" s="4"/>
      <c r="H21" s="4"/>
      <c r="I21" s="4"/>
      <c r="J21" s="4"/>
      <c r="K21" s="4"/>
      <c r="L21" s="4"/>
      <c r="M21" s="4"/>
      <c r="N21" s="4"/>
      <c r="O21" s="4"/>
      <c r="P21" s="4"/>
      <c r="Q21" s="4"/>
      <c r="R21" s="4"/>
      <c r="S21" s="4"/>
      <c r="T21" s="4"/>
      <c r="U21" s="4"/>
      <c r="V21" s="4"/>
      <c r="W21" s="4"/>
      <c r="X21" s="4"/>
      <c r="Y21" s="4"/>
      <c r="Z21" s="4"/>
    </row>
    <row r="22" ht="19.5" customHeight="1">
      <c r="A22" s="15">
        <v>20.0</v>
      </c>
      <c r="B22" s="24">
        <v>728650.0</v>
      </c>
      <c r="C22" s="20">
        <v>417882.0</v>
      </c>
      <c r="D22" s="18">
        <f t="array" ref="D22">B22-C22</f>
        <v>310768</v>
      </c>
      <c r="E22" s="20">
        <v>70000.0</v>
      </c>
      <c r="F22" s="19">
        <f t="array" ref="F22">B22-C22-E22</f>
        <v>240768</v>
      </c>
      <c r="G22" s="4"/>
      <c r="H22" s="4"/>
      <c r="I22" s="4"/>
      <c r="J22" s="4"/>
      <c r="K22" s="4"/>
      <c r="L22" s="4"/>
      <c r="M22" s="4"/>
      <c r="N22" s="4"/>
      <c r="O22" s="4"/>
      <c r="P22" s="4"/>
      <c r="Q22" s="4"/>
      <c r="R22" s="4"/>
      <c r="S22" s="4"/>
      <c r="T22" s="4"/>
      <c r="U22" s="4"/>
      <c r="V22" s="4"/>
      <c r="W22" s="4"/>
      <c r="X22" s="4"/>
      <c r="Y22" s="4"/>
      <c r="Z22" s="4"/>
    </row>
    <row r="23" ht="19.5" customHeight="1">
      <c r="A23" s="15">
        <v>21.0</v>
      </c>
      <c r="B23" s="16"/>
      <c r="C23" s="17"/>
      <c r="D23" s="18">
        <f t="array" ref="D23">B23-C23</f>
        <v>0</v>
      </c>
      <c r="E23" s="20">
        <v>112000.0</v>
      </c>
      <c r="F23" s="19">
        <f t="array" ref="F23">B23-C23-E23</f>
        <v>-112000</v>
      </c>
      <c r="G23" s="4"/>
      <c r="H23" s="4"/>
      <c r="I23" s="4"/>
      <c r="J23" s="4"/>
      <c r="K23" s="4"/>
      <c r="L23" s="4"/>
      <c r="M23" s="4"/>
      <c r="N23" s="4"/>
      <c r="O23" s="4"/>
      <c r="P23" s="4"/>
      <c r="Q23" s="4"/>
      <c r="R23" s="4"/>
      <c r="S23" s="4"/>
      <c r="T23" s="4"/>
      <c r="U23" s="4"/>
      <c r="V23" s="4"/>
      <c r="W23" s="4"/>
      <c r="X23" s="4"/>
      <c r="Y23" s="4"/>
      <c r="Z23" s="4"/>
    </row>
    <row r="24" ht="19.5" customHeight="1">
      <c r="A24" s="15">
        <v>22.0</v>
      </c>
      <c r="B24" s="24">
        <v>1419000.0</v>
      </c>
      <c r="C24" s="20">
        <v>810900.0</v>
      </c>
      <c r="D24" s="18">
        <f t="array" ref="D24">B24-C24</f>
        <v>608100</v>
      </c>
      <c r="E24" s="20">
        <v>106000.0</v>
      </c>
      <c r="F24" s="19">
        <f t="array" ref="F24">B24-C24-E24</f>
        <v>502100</v>
      </c>
      <c r="G24" s="4"/>
      <c r="H24" s="4"/>
      <c r="I24" s="4"/>
      <c r="J24" s="4"/>
      <c r="K24" s="4"/>
      <c r="L24" s="4"/>
      <c r="M24" s="4"/>
      <c r="N24" s="4"/>
      <c r="O24" s="4"/>
      <c r="P24" s="4"/>
      <c r="Q24" s="4"/>
      <c r="R24" s="4"/>
      <c r="S24" s="4"/>
      <c r="T24" s="4"/>
      <c r="U24" s="4"/>
      <c r="V24" s="4"/>
      <c r="W24" s="4"/>
      <c r="X24" s="4"/>
      <c r="Y24" s="4"/>
      <c r="Z24" s="4"/>
    </row>
    <row r="25" ht="19.5" customHeight="1">
      <c r="A25" s="15">
        <v>23.0</v>
      </c>
      <c r="B25" s="24">
        <v>568750.0</v>
      </c>
      <c r="C25" s="20">
        <v>325000.0</v>
      </c>
      <c r="D25" s="18">
        <f t="array" ref="D25">B25-C25</f>
        <v>243750</v>
      </c>
      <c r="E25" s="20">
        <v>60000.0</v>
      </c>
      <c r="F25" s="19">
        <f t="array" ref="F25">B25-C25-E25</f>
        <v>183750</v>
      </c>
      <c r="G25" s="4"/>
      <c r="H25" s="4"/>
      <c r="I25" s="4"/>
      <c r="J25" s="4"/>
      <c r="K25" s="4"/>
      <c r="L25" s="4"/>
      <c r="M25" s="4"/>
      <c r="N25" s="4"/>
      <c r="O25" s="4"/>
      <c r="P25" s="4"/>
      <c r="Q25" s="4"/>
      <c r="R25" s="4"/>
      <c r="S25" s="4"/>
      <c r="T25" s="4"/>
      <c r="U25" s="4"/>
      <c r="V25" s="4"/>
      <c r="W25" s="4"/>
      <c r="X25" s="4"/>
      <c r="Y25" s="4"/>
      <c r="Z25" s="4"/>
    </row>
    <row r="26" ht="19.5" customHeight="1">
      <c r="A26" s="15">
        <v>24.0</v>
      </c>
      <c r="B26" s="24">
        <v>469900.0</v>
      </c>
      <c r="C26" s="20">
        <v>272882.0</v>
      </c>
      <c r="D26" s="18">
        <f t="array" ref="D26">B26-C26</f>
        <v>197018</v>
      </c>
      <c r="E26" s="20">
        <v>80000.0</v>
      </c>
      <c r="F26" s="19">
        <f t="array" ref="F26">B26-C26-E26</f>
        <v>117018</v>
      </c>
      <c r="G26" s="4"/>
      <c r="H26" s="4"/>
      <c r="I26" s="4"/>
      <c r="J26" s="4"/>
      <c r="K26" s="4"/>
      <c r="L26" s="4"/>
      <c r="M26" s="4"/>
      <c r="N26" s="4"/>
      <c r="O26" s="4"/>
      <c r="P26" s="4"/>
      <c r="Q26" s="4"/>
      <c r="R26" s="4"/>
      <c r="S26" s="4"/>
      <c r="T26" s="4"/>
      <c r="U26" s="4"/>
      <c r="V26" s="4"/>
      <c r="W26" s="4"/>
      <c r="X26" s="4"/>
      <c r="Y26" s="4"/>
      <c r="Z26" s="4"/>
    </row>
    <row r="27" ht="19.5" customHeight="1">
      <c r="A27" s="15">
        <v>25.0</v>
      </c>
      <c r="B27" s="24">
        <v>200000.0</v>
      </c>
      <c r="C27" s="20">
        <v>119500.0</v>
      </c>
      <c r="D27" s="18">
        <f t="array" ref="D27">B27-C27</f>
        <v>80500</v>
      </c>
      <c r="E27" s="20">
        <v>80000.0</v>
      </c>
      <c r="F27" s="19">
        <f t="array" ref="F27">B27-C27-E27</f>
        <v>500</v>
      </c>
      <c r="G27" s="4"/>
      <c r="H27" s="4"/>
      <c r="I27" s="4"/>
      <c r="J27" s="4"/>
      <c r="K27" s="4"/>
      <c r="L27" s="4"/>
      <c r="M27" s="4"/>
      <c r="N27" s="4"/>
      <c r="O27" s="4"/>
      <c r="P27" s="4"/>
      <c r="Q27" s="4"/>
      <c r="R27" s="4"/>
      <c r="S27" s="4"/>
      <c r="T27" s="4"/>
      <c r="U27" s="4"/>
      <c r="V27" s="4"/>
      <c r="W27" s="4"/>
      <c r="X27" s="4"/>
      <c r="Y27" s="4"/>
      <c r="Z27" s="4"/>
    </row>
    <row r="28" ht="19.5" customHeight="1">
      <c r="A28" s="15">
        <v>26.0</v>
      </c>
      <c r="B28" s="16"/>
      <c r="C28" s="17"/>
      <c r="D28" s="18">
        <f t="array" ref="D28">B28-C28</f>
        <v>0</v>
      </c>
      <c r="E28" s="20">
        <v>70000.0</v>
      </c>
      <c r="F28" s="19">
        <f t="array" ref="F28">B28-C28-E28</f>
        <v>-70000</v>
      </c>
      <c r="G28" s="4"/>
      <c r="H28" s="4"/>
      <c r="I28" s="4"/>
      <c r="J28" s="4"/>
      <c r="K28" s="4"/>
      <c r="L28" s="4"/>
      <c r="M28" s="4"/>
      <c r="N28" s="4"/>
      <c r="O28" s="4"/>
      <c r="P28" s="4"/>
      <c r="Q28" s="4"/>
      <c r="R28" s="4"/>
      <c r="S28" s="4"/>
      <c r="T28" s="4"/>
      <c r="U28" s="4"/>
      <c r="V28" s="4"/>
      <c r="W28" s="4"/>
      <c r="X28" s="4"/>
      <c r="Y28" s="4"/>
      <c r="Z28" s="4"/>
    </row>
    <row r="29" ht="19.5" customHeight="1">
      <c r="A29" s="15">
        <v>27.0</v>
      </c>
      <c r="B29" s="24">
        <v>262500.0</v>
      </c>
      <c r="C29" s="20">
        <v>150000.0</v>
      </c>
      <c r="D29" s="18">
        <f t="array" ref="D29">B29-C29</f>
        <v>112500</v>
      </c>
      <c r="E29" s="20">
        <v>88000.0</v>
      </c>
      <c r="F29" s="19">
        <f t="array" ref="F29">B29-C29-E29</f>
        <v>24500</v>
      </c>
      <c r="G29" s="4"/>
      <c r="H29" s="4"/>
      <c r="I29" s="4"/>
      <c r="J29" s="4"/>
      <c r="K29" s="4"/>
      <c r="L29" s="4"/>
      <c r="M29" s="4"/>
      <c r="N29" s="4"/>
      <c r="O29" s="4"/>
      <c r="P29" s="4"/>
      <c r="Q29" s="4"/>
      <c r="R29" s="4"/>
      <c r="S29" s="4"/>
      <c r="T29" s="4"/>
      <c r="U29" s="4"/>
      <c r="V29" s="4"/>
      <c r="W29" s="4"/>
      <c r="X29" s="4"/>
      <c r="Y29" s="4"/>
      <c r="Z29" s="4"/>
    </row>
    <row r="30" ht="19.5" customHeight="1">
      <c r="A30" s="15">
        <v>28.0</v>
      </c>
      <c r="B30" s="24">
        <v>463750.0</v>
      </c>
      <c r="C30" s="20">
        <v>265000.0</v>
      </c>
      <c r="D30" s="18">
        <f t="array" ref="D30">B30-C30</f>
        <v>198750</v>
      </c>
      <c r="E30" s="20">
        <v>95400.0</v>
      </c>
      <c r="F30" s="19">
        <f t="array" ref="F30">B30-C30-E30</f>
        <v>103350</v>
      </c>
      <c r="G30" s="4"/>
      <c r="H30" s="4"/>
      <c r="I30" s="4"/>
      <c r="J30" s="4"/>
      <c r="K30" s="4"/>
      <c r="L30" s="4"/>
      <c r="M30" s="4"/>
      <c r="N30" s="4"/>
      <c r="O30" s="4"/>
      <c r="P30" s="4"/>
      <c r="Q30" s="4"/>
      <c r="R30" s="4"/>
      <c r="S30" s="4"/>
      <c r="T30" s="4"/>
      <c r="U30" s="4"/>
      <c r="V30" s="4"/>
      <c r="W30" s="4"/>
      <c r="X30" s="4"/>
      <c r="Y30" s="4"/>
      <c r="Z30" s="4"/>
    </row>
    <row r="31" ht="19.5" customHeight="1">
      <c r="A31" s="15">
        <v>29.0</v>
      </c>
      <c r="B31" s="16"/>
      <c r="C31" s="17"/>
      <c r="D31" s="18">
        <f t="array" ref="D31">B31-C31</f>
        <v>0</v>
      </c>
      <c r="E31" s="17"/>
      <c r="F31" s="19">
        <f t="array" ref="F31">B31-C31-E31</f>
        <v>0</v>
      </c>
      <c r="G31" s="4"/>
      <c r="H31" s="4"/>
      <c r="I31" s="4"/>
      <c r="J31" s="4"/>
      <c r="K31" s="4"/>
      <c r="L31" s="4"/>
      <c r="M31" s="4"/>
      <c r="N31" s="4"/>
      <c r="O31" s="4"/>
      <c r="P31" s="4"/>
      <c r="Q31" s="4"/>
      <c r="R31" s="4"/>
      <c r="S31" s="4"/>
      <c r="T31" s="4"/>
      <c r="U31" s="4"/>
      <c r="V31" s="4"/>
      <c r="W31" s="4"/>
      <c r="X31" s="4"/>
      <c r="Y31" s="4"/>
      <c r="Z31" s="4"/>
    </row>
    <row r="32" ht="19.5" customHeight="1">
      <c r="A32" s="15">
        <v>30.0</v>
      </c>
      <c r="B32" s="16"/>
      <c r="C32" s="17"/>
      <c r="D32" s="18">
        <f t="array" ref="D32">B32-C32</f>
        <v>0</v>
      </c>
      <c r="E32" s="17"/>
      <c r="F32" s="19">
        <f t="array" ref="F32">B32-C32-E32</f>
        <v>0</v>
      </c>
      <c r="G32" s="4"/>
      <c r="H32" s="4"/>
      <c r="I32" s="4"/>
      <c r="J32" s="4"/>
      <c r="K32" s="4"/>
      <c r="L32" s="4"/>
      <c r="M32" s="4"/>
      <c r="N32" s="4"/>
      <c r="O32" s="4"/>
      <c r="P32" s="4"/>
      <c r="Q32" s="4"/>
      <c r="R32" s="4"/>
      <c r="S32" s="4"/>
      <c r="T32" s="4"/>
      <c r="U32" s="4"/>
      <c r="V32" s="4"/>
      <c r="W32" s="4"/>
      <c r="X32" s="4"/>
      <c r="Y32" s="4"/>
      <c r="Z32" s="4"/>
    </row>
    <row r="33" ht="19.5" customHeight="1">
      <c r="A33" s="15">
        <v>31.0</v>
      </c>
      <c r="B33" s="16"/>
      <c r="C33" s="17"/>
      <c r="D33" s="18">
        <f t="array" ref="D33">B33-C33</f>
        <v>0</v>
      </c>
      <c r="E33" s="17"/>
      <c r="F33" s="19">
        <f t="array" ref="F33">B33-C33-E33</f>
        <v>0</v>
      </c>
      <c r="G33" s="4"/>
      <c r="H33" s="4"/>
      <c r="I33" s="4"/>
      <c r="J33" s="4"/>
      <c r="K33" s="4"/>
      <c r="L33" s="4"/>
      <c r="M33" s="4"/>
      <c r="N33" s="4"/>
      <c r="O33" s="4"/>
      <c r="P33" s="4"/>
      <c r="Q33" s="4"/>
      <c r="R33" s="4"/>
      <c r="S33" s="4"/>
      <c r="T33" s="4"/>
      <c r="U33" s="4"/>
      <c r="V33" s="4"/>
      <c r="W33" s="4"/>
      <c r="X33" s="4"/>
      <c r="Y33" s="4"/>
      <c r="Z33" s="4"/>
    </row>
    <row r="34" ht="19.5" customHeight="1">
      <c r="A34" s="25" t="s">
        <v>29</v>
      </c>
      <c r="B34" s="26">
        <f t="array" ref="B34">SUM(B3:B33)</f>
        <v>15667600</v>
      </c>
      <c r="C34" s="27">
        <f t="array" ref="C34">SUM(C3:C33)</f>
        <v>9131111</v>
      </c>
      <c r="D34" s="28">
        <f t="array" ref="D34">SUM(D3:D33)</f>
        <v>6536489</v>
      </c>
      <c r="E34" s="27">
        <f t="array" ref="E34">SUM(E3:E33)</f>
        <v>2470650</v>
      </c>
      <c r="F34" s="29">
        <f t="array" ref="F34">SUM(F3:F33)</f>
        <v>4065839</v>
      </c>
      <c r="G34" s="4"/>
      <c r="H34" s="4"/>
      <c r="I34" s="4"/>
      <c r="J34" s="4"/>
      <c r="K34" s="4"/>
      <c r="L34" s="4"/>
      <c r="M34" s="4"/>
      <c r="N34" s="4"/>
      <c r="O34" s="4"/>
      <c r="P34" s="4"/>
      <c r="Q34" s="4"/>
      <c r="R34" s="4"/>
      <c r="S34" s="4"/>
      <c r="T34" s="4"/>
      <c r="U34" s="4"/>
      <c r="V34" s="4"/>
      <c r="W34" s="4"/>
      <c r="X34" s="4"/>
      <c r="Y34" s="4"/>
      <c r="Z34" s="4"/>
    </row>
    <row r="35" ht="19.5" customHeight="1">
      <c r="A35" s="15"/>
      <c r="B35" s="30"/>
      <c r="C35" s="32" t="s">
        <v>31</v>
      </c>
      <c r="D35" s="17"/>
      <c r="E35" s="17"/>
      <c r="F35" s="17"/>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F1"/>
  </mergeCells>
  <printOptions/>
  <pageMargins bottom="1.0" footer="0.0" header="0.0" left="1.0" right="1.0" top="1.0"/>
  <pageSetup orientation="portrait"/>
  <headerFooter>
    <oddFooter>&amp;C000000&amp;P</oddFooter>
  </headerFooter>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26" width="16.29"/>
  </cols>
  <sheetData>
    <row r="1" ht="27.0" customHeight="1">
      <c r="A1" s="2" t="s">
        <v>19</v>
      </c>
      <c r="F1" s="4"/>
      <c r="G1" s="4"/>
      <c r="H1" s="4"/>
      <c r="I1" s="4"/>
      <c r="J1" s="4"/>
      <c r="K1" s="4"/>
      <c r="L1" s="4"/>
      <c r="M1" s="4"/>
      <c r="N1" s="4"/>
      <c r="O1" s="4"/>
      <c r="P1" s="4"/>
      <c r="Q1" s="4"/>
      <c r="R1" s="4"/>
      <c r="S1" s="4"/>
      <c r="T1" s="4"/>
      <c r="U1" s="4"/>
      <c r="V1" s="4"/>
      <c r="W1" s="4"/>
      <c r="X1" s="4"/>
      <c r="Y1" s="4"/>
      <c r="Z1" s="4"/>
    </row>
    <row r="2" ht="20.25" customHeight="1">
      <c r="A2" s="37"/>
      <c r="B2" s="37"/>
      <c r="C2" s="37"/>
      <c r="D2" s="37"/>
      <c r="E2" s="37"/>
      <c r="F2" s="4"/>
      <c r="G2" s="4"/>
      <c r="H2" s="4"/>
      <c r="I2" s="4"/>
      <c r="J2" s="4"/>
      <c r="K2" s="4"/>
      <c r="L2" s="4"/>
      <c r="M2" s="4"/>
      <c r="N2" s="4"/>
      <c r="O2" s="4"/>
      <c r="P2" s="4"/>
      <c r="Q2" s="4"/>
      <c r="R2" s="4"/>
      <c r="S2" s="4"/>
      <c r="T2" s="4"/>
      <c r="U2" s="4"/>
      <c r="V2" s="4"/>
      <c r="W2" s="4"/>
      <c r="X2" s="4"/>
      <c r="Y2" s="4"/>
      <c r="Z2" s="4"/>
    </row>
    <row r="3" ht="20.25" customHeight="1">
      <c r="A3" s="38"/>
      <c r="B3" s="39"/>
      <c r="C3" s="40"/>
      <c r="D3" s="40"/>
      <c r="E3" s="40"/>
      <c r="F3" s="4"/>
      <c r="G3" s="4"/>
      <c r="H3" s="4"/>
      <c r="I3" s="4"/>
      <c r="J3" s="4"/>
      <c r="K3" s="4"/>
      <c r="L3" s="4"/>
      <c r="M3" s="4"/>
      <c r="N3" s="4"/>
      <c r="O3" s="4"/>
      <c r="P3" s="4"/>
      <c r="Q3" s="4"/>
      <c r="R3" s="4"/>
      <c r="S3" s="4"/>
      <c r="T3" s="4"/>
      <c r="U3" s="4"/>
      <c r="V3" s="4"/>
      <c r="W3" s="4"/>
      <c r="X3" s="4"/>
      <c r="Y3" s="4"/>
      <c r="Z3" s="4"/>
    </row>
    <row r="4" ht="19.5" customHeight="1">
      <c r="A4" s="41"/>
      <c r="B4" s="42"/>
      <c r="C4" s="43"/>
      <c r="D4" s="43"/>
      <c r="E4" s="43"/>
      <c r="F4" s="4"/>
      <c r="G4" s="4"/>
      <c r="H4" s="4"/>
      <c r="I4" s="4"/>
      <c r="J4" s="4"/>
      <c r="K4" s="4"/>
      <c r="L4" s="4"/>
      <c r="M4" s="4"/>
      <c r="N4" s="4"/>
      <c r="O4" s="4"/>
      <c r="P4" s="4"/>
      <c r="Q4" s="4"/>
      <c r="R4" s="4"/>
      <c r="S4" s="4"/>
      <c r="T4" s="4"/>
      <c r="U4" s="4"/>
      <c r="V4" s="4"/>
      <c r="W4" s="4"/>
      <c r="X4" s="4"/>
      <c r="Y4" s="4"/>
      <c r="Z4" s="4"/>
    </row>
    <row r="5" ht="19.5" customHeight="1">
      <c r="A5" s="41"/>
      <c r="B5" s="42"/>
      <c r="C5" s="43"/>
      <c r="D5" s="43"/>
      <c r="E5" s="43"/>
      <c r="F5" s="4"/>
      <c r="G5" s="4"/>
      <c r="H5" s="4"/>
      <c r="I5" s="4"/>
      <c r="J5" s="4"/>
      <c r="K5" s="4"/>
      <c r="L5" s="4"/>
      <c r="M5" s="4"/>
      <c r="N5" s="4"/>
      <c r="O5" s="4"/>
      <c r="P5" s="4"/>
      <c r="Q5" s="4"/>
      <c r="R5" s="4"/>
      <c r="S5" s="4"/>
      <c r="T5" s="4"/>
      <c r="U5" s="4"/>
      <c r="V5" s="4"/>
      <c r="W5" s="4"/>
      <c r="X5" s="4"/>
      <c r="Y5" s="4"/>
      <c r="Z5" s="4"/>
    </row>
    <row r="6" ht="19.5" customHeight="1">
      <c r="A6" s="41"/>
      <c r="B6" s="42"/>
      <c r="C6" s="43"/>
      <c r="D6" s="43"/>
      <c r="E6" s="43"/>
      <c r="F6" s="4"/>
      <c r="G6" s="4"/>
      <c r="H6" s="4"/>
      <c r="I6" s="4"/>
      <c r="J6" s="4"/>
      <c r="K6" s="4"/>
      <c r="L6" s="4"/>
      <c r="M6" s="4"/>
      <c r="N6" s="4"/>
      <c r="O6" s="4"/>
      <c r="P6" s="4"/>
      <c r="Q6" s="4"/>
      <c r="R6" s="4"/>
      <c r="S6" s="4"/>
      <c r="T6" s="4"/>
      <c r="U6" s="4"/>
      <c r="V6" s="4"/>
      <c r="W6" s="4"/>
      <c r="X6" s="4"/>
      <c r="Y6" s="4"/>
      <c r="Z6" s="4"/>
    </row>
    <row r="7" ht="19.5" customHeight="1">
      <c r="A7" s="41"/>
      <c r="B7" s="42"/>
      <c r="C7" s="43"/>
      <c r="D7" s="43"/>
      <c r="E7" s="43"/>
      <c r="F7" s="4"/>
      <c r="G7" s="4"/>
      <c r="H7" s="4"/>
      <c r="I7" s="4"/>
      <c r="J7" s="4"/>
      <c r="K7" s="4"/>
      <c r="L7" s="4"/>
      <c r="M7" s="4"/>
      <c r="N7" s="4"/>
      <c r="O7" s="4"/>
      <c r="P7" s="4"/>
      <c r="Q7" s="4"/>
      <c r="R7" s="4"/>
      <c r="S7" s="4"/>
      <c r="T7" s="4"/>
      <c r="U7" s="4"/>
      <c r="V7" s="4"/>
      <c r="W7" s="4"/>
      <c r="X7" s="4"/>
      <c r="Y7" s="4"/>
      <c r="Z7" s="4"/>
    </row>
    <row r="8" ht="19.5" customHeight="1">
      <c r="A8" s="41"/>
      <c r="B8" s="42"/>
      <c r="C8" s="43"/>
      <c r="D8" s="43"/>
      <c r="E8" s="43"/>
      <c r="F8" s="4"/>
      <c r="G8" s="4"/>
      <c r="H8" s="4"/>
      <c r="I8" s="4"/>
      <c r="J8" s="4"/>
      <c r="K8" s="4"/>
      <c r="L8" s="4"/>
      <c r="M8" s="4"/>
      <c r="N8" s="4"/>
      <c r="O8" s="4"/>
      <c r="P8" s="4"/>
      <c r="Q8" s="4"/>
      <c r="R8" s="4"/>
      <c r="S8" s="4"/>
      <c r="T8" s="4"/>
      <c r="U8" s="4"/>
      <c r="V8" s="4"/>
      <c r="W8" s="4"/>
      <c r="X8" s="4"/>
      <c r="Y8" s="4"/>
      <c r="Z8" s="4"/>
    </row>
    <row r="9" ht="19.5" customHeight="1">
      <c r="A9" s="41"/>
      <c r="B9" s="42"/>
      <c r="C9" s="43"/>
      <c r="D9" s="43"/>
      <c r="E9" s="43"/>
      <c r="F9" s="4"/>
      <c r="G9" s="4"/>
      <c r="H9" s="4"/>
      <c r="I9" s="4"/>
      <c r="J9" s="4"/>
      <c r="K9" s="4"/>
      <c r="L9" s="4"/>
      <c r="M9" s="4"/>
      <c r="N9" s="4"/>
      <c r="O9" s="4"/>
      <c r="P9" s="4"/>
      <c r="Q9" s="4"/>
      <c r="R9" s="4"/>
      <c r="S9" s="4"/>
      <c r="T9" s="4"/>
      <c r="U9" s="4"/>
      <c r="V9" s="4"/>
      <c r="W9" s="4"/>
      <c r="X9" s="4"/>
      <c r="Y9" s="4"/>
      <c r="Z9" s="4"/>
    </row>
    <row r="10" ht="19.5" customHeight="1">
      <c r="A10" s="41"/>
      <c r="B10" s="42"/>
      <c r="C10" s="43"/>
      <c r="D10" s="43"/>
      <c r="E10" s="43"/>
      <c r="F10" s="4"/>
      <c r="G10" s="4"/>
      <c r="H10" s="4"/>
      <c r="I10" s="4"/>
      <c r="J10" s="4"/>
      <c r="K10" s="4"/>
      <c r="L10" s="4"/>
      <c r="M10" s="4"/>
      <c r="N10" s="4"/>
      <c r="O10" s="4"/>
      <c r="P10" s="4"/>
      <c r="Q10" s="4"/>
      <c r="R10" s="4"/>
      <c r="S10" s="4"/>
      <c r="T10" s="4"/>
      <c r="U10" s="4"/>
      <c r="V10" s="4"/>
      <c r="W10" s="4"/>
      <c r="X10" s="4"/>
      <c r="Y10" s="4"/>
      <c r="Z10" s="4"/>
    </row>
    <row r="11" ht="19.5" customHeight="1">
      <c r="A11" s="41"/>
      <c r="B11" s="42"/>
      <c r="C11" s="43"/>
      <c r="D11" s="43"/>
      <c r="E11" s="43"/>
      <c r="F11" s="4"/>
      <c r="G11" s="4"/>
      <c r="H11" s="4"/>
      <c r="I11" s="4"/>
      <c r="J11" s="4"/>
      <c r="K11" s="4"/>
      <c r="L11" s="4"/>
      <c r="M11" s="4"/>
      <c r="N11" s="4"/>
      <c r="O11" s="4"/>
      <c r="P11" s="4"/>
      <c r="Q11" s="4"/>
      <c r="R11" s="4"/>
      <c r="S11" s="4"/>
      <c r="T11" s="4"/>
      <c r="U11" s="4"/>
      <c r="V11" s="4"/>
      <c r="W11" s="4"/>
      <c r="X11" s="4"/>
      <c r="Y11" s="4"/>
      <c r="Z11" s="4"/>
    </row>
    <row r="12" ht="19.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9.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9.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9.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9.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9.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9.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9.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9.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9.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9.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9.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9.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9.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9.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9.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9.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9.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9.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9.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9.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9.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9.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9.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26" width="16.29"/>
  </cols>
  <sheetData>
    <row r="1" ht="27.0" customHeight="1">
      <c r="A1" s="2" t="s">
        <v>19</v>
      </c>
      <c r="F1" s="4"/>
      <c r="G1" s="4"/>
      <c r="H1" s="4"/>
      <c r="I1" s="4"/>
      <c r="J1" s="4"/>
      <c r="K1" s="4"/>
      <c r="L1" s="4"/>
      <c r="M1" s="4"/>
      <c r="N1" s="4"/>
      <c r="O1" s="4"/>
      <c r="P1" s="4"/>
      <c r="Q1" s="4"/>
      <c r="R1" s="4"/>
      <c r="S1" s="4"/>
      <c r="T1" s="4"/>
      <c r="U1" s="4"/>
      <c r="V1" s="4"/>
      <c r="W1" s="4"/>
      <c r="X1" s="4"/>
      <c r="Y1" s="4"/>
      <c r="Z1" s="4"/>
    </row>
    <row r="2" ht="20.25" customHeight="1">
      <c r="A2" s="37"/>
      <c r="B2" s="37"/>
      <c r="C2" s="37"/>
      <c r="D2" s="37"/>
      <c r="E2" s="37"/>
      <c r="F2" s="4"/>
      <c r="G2" s="4"/>
      <c r="H2" s="4"/>
      <c r="I2" s="4"/>
      <c r="J2" s="4"/>
      <c r="K2" s="4"/>
      <c r="L2" s="4"/>
      <c r="M2" s="4"/>
      <c r="N2" s="4"/>
      <c r="O2" s="4"/>
      <c r="P2" s="4"/>
      <c r="Q2" s="4"/>
      <c r="R2" s="4"/>
      <c r="S2" s="4"/>
      <c r="T2" s="4"/>
      <c r="U2" s="4"/>
      <c r="V2" s="4"/>
      <c r="W2" s="4"/>
      <c r="X2" s="4"/>
      <c r="Y2" s="4"/>
      <c r="Z2" s="4"/>
    </row>
    <row r="3" ht="20.25" customHeight="1">
      <c r="A3" s="38"/>
      <c r="B3" s="39"/>
      <c r="C3" s="40"/>
      <c r="D3" s="40"/>
      <c r="E3" s="40"/>
      <c r="F3" s="4"/>
      <c r="G3" s="4"/>
      <c r="H3" s="4"/>
      <c r="I3" s="4"/>
      <c r="J3" s="4"/>
      <c r="K3" s="4"/>
      <c r="L3" s="4"/>
      <c r="M3" s="4"/>
      <c r="N3" s="4"/>
      <c r="O3" s="4"/>
      <c r="P3" s="4"/>
      <c r="Q3" s="4"/>
      <c r="R3" s="4"/>
      <c r="S3" s="4"/>
      <c r="T3" s="4"/>
      <c r="U3" s="4"/>
      <c r="V3" s="4"/>
      <c r="W3" s="4"/>
      <c r="X3" s="4"/>
      <c r="Y3" s="4"/>
      <c r="Z3" s="4"/>
    </row>
    <row r="4" ht="19.5" customHeight="1">
      <c r="A4" s="41"/>
      <c r="B4" s="42"/>
      <c r="C4" s="43"/>
      <c r="D4" s="43"/>
      <c r="E4" s="43"/>
      <c r="F4" s="4"/>
      <c r="G4" s="4"/>
      <c r="H4" s="4"/>
      <c r="I4" s="4"/>
      <c r="J4" s="4"/>
      <c r="K4" s="4"/>
      <c r="L4" s="4"/>
      <c r="M4" s="4"/>
      <c r="N4" s="4"/>
      <c r="O4" s="4"/>
      <c r="P4" s="4"/>
      <c r="Q4" s="4"/>
      <c r="R4" s="4"/>
      <c r="S4" s="4"/>
      <c r="T4" s="4"/>
      <c r="U4" s="4"/>
      <c r="V4" s="4"/>
      <c r="W4" s="4"/>
      <c r="X4" s="4"/>
      <c r="Y4" s="4"/>
      <c r="Z4" s="4"/>
    </row>
    <row r="5" ht="19.5" customHeight="1">
      <c r="A5" s="41"/>
      <c r="B5" s="42"/>
      <c r="C5" s="43"/>
      <c r="D5" s="43"/>
      <c r="E5" s="43"/>
      <c r="F5" s="4"/>
      <c r="G5" s="4"/>
      <c r="H5" s="4"/>
      <c r="I5" s="4"/>
      <c r="J5" s="4"/>
      <c r="K5" s="4"/>
      <c r="L5" s="4"/>
      <c r="M5" s="4"/>
      <c r="N5" s="4"/>
      <c r="O5" s="4"/>
      <c r="P5" s="4"/>
      <c r="Q5" s="4"/>
      <c r="R5" s="4"/>
      <c r="S5" s="4"/>
      <c r="T5" s="4"/>
      <c r="U5" s="4"/>
      <c r="V5" s="4"/>
      <c r="W5" s="4"/>
      <c r="X5" s="4"/>
      <c r="Y5" s="4"/>
      <c r="Z5" s="4"/>
    </row>
    <row r="6" ht="19.5" customHeight="1">
      <c r="A6" s="41"/>
      <c r="B6" s="42"/>
      <c r="C6" s="43"/>
      <c r="D6" s="43"/>
      <c r="E6" s="43"/>
      <c r="F6" s="4"/>
      <c r="G6" s="4"/>
      <c r="H6" s="4"/>
      <c r="I6" s="4"/>
      <c r="J6" s="4"/>
      <c r="K6" s="4"/>
      <c r="L6" s="4"/>
      <c r="M6" s="4"/>
      <c r="N6" s="4"/>
      <c r="O6" s="4"/>
      <c r="P6" s="4"/>
      <c r="Q6" s="4"/>
      <c r="R6" s="4"/>
      <c r="S6" s="4"/>
      <c r="T6" s="4"/>
      <c r="U6" s="4"/>
      <c r="V6" s="4"/>
      <c r="W6" s="4"/>
      <c r="X6" s="4"/>
      <c r="Y6" s="4"/>
      <c r="Z6" s="4"/>
    </row>
    <row r="7" ht="19.5" customHeight="1">
      <c r="A7" s="41"/>
      <c r="B7" s="42"/>
      <c r="C7" s="43"/>
      <c r="D7" s="43"/>
      <c r="E7" s="43"/>
      <c r="F7" s="4"/>
      <c r="G7" s="4"/>
      <c r="H7" s="4"/>
      <c r="I7" s="4"/>
      <c r="J7" s="4"/>
      <c r="K7" s="4"/>
      <c r="L7" s="4"/>
      <c r="M7" s="4"/>
      <c r="N7" s="4"/>
      <c r="O7" s="4"/>
      <c r="P7" s="4"/>
      <c r="Q7" s="4"/>
      <c r="R7" s="4"/>
      <c r="S7" s="4"/>
      <c r="T7" s="4"/>
      <c r="U7" s="4"/>
      <c r="V7" s="4"/>
      <c r="W7" s="4"/>
      <c r="X7" s="4"/>
      <c r="Y7" s="4"/>
      <c r="Z7" s="4"/>
    </row>
    <row r="8" ht="19.5" customHeight="1">
      <c r="A8" s="41"/>
      <c r="B8" s="42"/>
      <c r="C8" s="43"/>
      <c r="D8" s="43"/>
      <c r="E8" s="43"/>
      <c r="F8" s="4"/>
      <c r="G8" s="4"/>
      <c r="H8" s="4"/>
      <c r="I8" s="4"/>
      <c r="J8" s="4"/>
      <c r="K8" s="4"/>
      <c r="L8" s="4"/>
      <c r="M8" s="4"/>
      <c r="N8" s="4"/>
      <c r="O8" s="4"/>
      <c r="P8" s="4"/>
      <c r="Q8" s="4"/>
      <c r="R8" s="4"/>
      <c r="S8" s="4"/>
      <c r="T8" s="4"/>
      <c r="U8" s="4"/>
      <c r="V8" s="4"/>
      <c r="W8" s="4"/>
      <c r="X8" s="4"/>
      <c r="Y8" s="4"/>
      <c r="Z8" s="4"/>
    </row>
    <row r="9" ht="19.5" customHeight="1">
      <c r="A9" s="41"/>
      <c r="B9" s="42"/>
      <c r="C9" s="43"/>
      <c r="D9" s="43"/>
      <c r="E9" s="43"/>
      <c r="F9" s="4"/>
      <c r="G9" s="4"/>
      <c r="H9" s="4"/>
      <c r="I9" s="4"/>
      <c r="J9" s="4"/>
      <c r="K9" s="4"/>
      <c r="L9" s="4"/>
      <c r="M9" s="4"/>
      <c r="N9" s="4"/>
      <c r="O9" s="4"/>
      <c r="P9" s="4"/>
      <c r="Q9" s="4"/>
      <c r="R9" s="4"/>
      <c r="S9" s="4"/>
      <c r="T9" s="4"/>
      <c r="U9" s="4"/>
      <c r="V9" s="4"/>
      <c r="W9" s="4"/>
      <c r="X9" s="4"/>
      <c r="Y9" s="4"/>
      <c r="Z9" s="4"/>
    </row>
    <row r="10" ht="19.5" customHeight="1">
      <c r="A10" s="41"/>
      <c r="B10" s="42"/>
      <c r="C10" s="43"/>
      <c r="D10" s="43"/>
      <c r="E10" s="43"/>
      <c r="F10" s="4"/>
      <c r="G10" s="4"/>
      <c r="H10" s="4"/>
      <c r="I10" s="4"/>
      <c r="J10" s="4"/>
      <c r="K10" s="4"/>
      <c r="L10" s="4"/>
      <c r="M10" s="4"/>
      <c r="N10" s="4"/>
      <c r="O10" s="4"/>
      <c r="P10" s="4"/>
      <c r="Q10" s="4"/>
      <c r="R10" s="4"/>
      <c r="S10" s="4"/>
      <c r="T10" s="4"/>
      <c r="U10" s="4"/>
      <c r="V10" s="4"/>
      <c r="W10" s="4"/>
      <c r="X10" s="4"/>
      <c r="Y10" s="4"/>
      <c r="Z10" s="4"/>
    </row>
    <row r="11" ht="19.5" customHeight="1">
      <c r="A11" s="41"/>
      <c r="B11" s="42"/>
      <c r="C11" s="43"/>
      <c r="D11" s="43"/>
      <c r="E11" s="43"/>
      <c r="F11" s="4"/>
      <c r="G11" s="4"/>
      <c r="H11" s="4"/>
      <c r="I11" s="4"/>
      <c r="J11" s="4"/>
      <c r="K11" s="4"/>
      <c r="L11" s="4"/>
      <c r="M11" s="4"/>
      <c r="N11" s="4"/>
      <c r="O11" s="4"/>
      <c r="P11" s="4"/>
      <c r="Q11" s="4"/>
      <c r="R11" s="4"/>
      <c r="S11" s="4"/>
      <c r="T11" s="4"/>
      <c r="U11" s="4"/>
      <c r="V11" s="4"/>
      <c r="W11" s="4"/>
      <c r="X11" s="4"/>
      <c r="Y11" s="4"/>
      <c r="Z11" s="4"/>
    </row>
    <row r="12" ht="19.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9.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9.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9.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9.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9.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9.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9.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9.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9.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9.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9.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9.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9.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9.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9.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9.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9.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9.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9.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9.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9.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9.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9.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26" width="16.29"/>
  </cols>
  <sheetData>
    <row r="1" ht="27.0" customHeight="1">
      <c r="A1" s="2" t="s">
        <v>19</v>
      </c>
      <c r="F1" s="4"/>
      <c r="G1" s="4"/>
      <c r="H1" s="4"/>
      <c r="I1" s="4"/>
      <c r="J1" s="4"/>
      <c r="K1" s="4"/>
      <c r="L1" s="4"/>
      <c r="M1" s="4"/>
      <c r="N1" s="4"/>
      <c r="O1" s="4"/>
      <c r="P1" s="4"/>
      <c r="Q1" s="4"/>
      <c r="R1" s="4"/>
      <c r="S1" s="4"/>
      <c r="T1" s="4"/>
      <c r="U1" s="4"/>
      <c r="V1" s="4"/>
      <c r="W1" s="4"/>
      <c r="X1" s="4"/>
      <c r="Y1" s="4"/>
      <c r="Z1" s="4"/>
    </row>
    <row r="2" ht="20.25" customHeight="1">
      <c r="A2" s="37"/>
      <c r="B2" s="37"/>
      <c r="C2" s="37"/>
      <c r="D2" s="37"/>
      <c r="E2" s="37"/>
      <c r="F2" s="4"/>
      <c r="G2" s="4"/>
      <c r="H2" s="4"/>
      <c r="I2" s="4"/>
      <c r="J2" s="4"/>
      <c r="K2" s="4"/>
      <c r="L2" s="4"/>
      <c r="M2" s="4"/>
      <c r="N2" s="4"/>
      <c r="O2" s="4"/>
      <c r="P2" s="4"/>
      <c r="Q2" s="4"/>
      <c r="R2" s="4"/>
      <c r="S2" s="4"/>
      <c r="T2" s="4"/>
      <c r="U2" s="4"/>
      <c r="V2" s="4"/>
      <c r="W2" s="4"/>
      <c r="X2" s="4"/>
      <c r="Y2" s="4"/>
      <c r="Z2" s="4"/>
    </row>
    <row r="3" ht="20.25" customHeight="1">
      <c r="A3" s="38"/>
      <c r="B3" s="39"/>
      <c r="C3" s="40"/>
      <c r="D3" s="40"/>
      <c r="E3" s="40"/>
      <c r="F3" s="4"/>
      <c r="G3" s="4"/>
      <c r="H3" s="4"/>
      <c r="I3" s="4"/>
      <c r="J3" s="4"/>
      <c r="K3" s="4"/>
      <c r="L3" s="4"/>
      <c r="M3" s="4"/>
      <c r="N3" s="4"/>
      <c r="O3" s="4"/>
      <c r="P3" s="4"/>
      <c r="Q3" s="4"/>
      <c r="R3" s="4"/>
      <c r="S3" s="4"/>
      <c r="T3" s="4"/>
      <c r="U3" s="4"/>
      <c r="V3" s="4"/>
      <c r="W3" s="4"/>
      <c r="X3" s="4"/>
      <c r="Y3" s="4"/>
      <c r="Z3" s="4"/>
    </row>
    <row r="4" ht="19.5" customHeight="1">
      <c r="A4" s="41"/>
      <c r="B4" s="42"/>
      <c r="C4" s="43"/>
      <c r="D4" s="43"/>
      <c r="E4" s="43"/>
      <c r="F4" s="4"/>
      <c r="G4" s="4"/>
      <c r="H4" s="4"/>
      <c r="I4" s="4"/>
      <c r="J4" s="4"/>
      <c r="K4" s="4"/>
      <c r="L4" s="4"/>
      <c r="M4" s="4"/>
      <c r="N4" s="4"/>
      <c r="O4" s="4"/>
      <c r="P4" s="4"/>
      <c r="Q4" s="4"/>
      <c r="R4" s="4"/>
      <c r="S4" s="4"/>
      <c r="T4" s="4"/>
      <c r="U4" s="4"/>
      <c r="V4" s="4"/>
      <c r="W4" s="4"/>
      <c r="X4" s="4"/>
      <c r="Y4" s="4"/>
      <c r="Z4" s="4"/>
    </row>
    <row r="5" ht="19.5" customHeight="1">
      <c r="A5" s="41"/>
      <c r="B5" s="42"/>
      <c r="C5" s="43"/>
      <c r="D5" s="43"/>
      <c r="E5" s="43"/>
      <c r="F5" s="4"/>
      <c r="G5" s="4"/>
      <c r="H5" s="4"/>
      <c r="I5" s="4"/>
      <c r="J5" s="4"/>
      <c r="K5" s="4"/>
      <c r="L5" s="4"/>
      <c r="M5" s="4"/>
      <c r="N5" s="4"/>
      <c r="O5" s="4"/>
      <c r="P5" s="4"/>
      <c r="Q5" s="4"/>
      <c r="R5" s="4"/>
      <c r="S5" s="4"/>
      <c r="T5" s="4"/>
      <c r="U5" s="4"/>
      <c r="V5" s="4"/>
      <c r="W5" s="4"/>
      <c r="X5" s="4"/>
      <c r="Y5" s="4"/>
      <c r="Z5" s="4"/>
    </row>
    <row r="6" ht="19.5" customHeight="1">
      <c r="A6" s="41"/>
      <c r="B6" s="42"/>
      <c r="C6" s="43"/>
      <c r="D6" s="43"/>
      <c r="E6" s="43"/>
      <c r="F6" s="4"/>
      <c r="G6" s="4"/>
      <c r="H6" s="4"/>
      <c r="I6" s="4"/>
      <c r="J6" s="4"/>
      <c r="K6" s="4"/>
      <c r="L6" s="4"/>
      <c r="M6" s="4"/>
      <c r="N6" s="4"/>
      <c r="O6" s="4"/>
      <c r="P6" s="4"/>
      <c r="Q6" s="4"/>
      <c r="R6" s="4"/>
      <c r="S6" s="4"/>
      <c r="T6" s="4"/>
      <c r="U6" s="4"/>
      <c r="V6" s="4"/>
      <c r="W6" s="4"/>
      <c r="X6" s="4"/>
      <c r="Y6" s="4"/>
      <c r="Z6" s="4"/>
    </row>
    <row r="7" ht="19.5" customHeight="1">
      <c r="A7" s="41"/>
      <c r="B7" s="42"/>
      <c r="C7" s="43"/>
      <c r="D7" s="43"/>
      <c r="E7" s="43"/>
      <c r="F7" s="4"/>
      <c r="G7" s="4"/>
      <c r="H7" s="4"/>
      <c r="I7" s="4"/>
      <c r="J7" s="4"/>
      <c r="K7" s="4"/>
      <c r="L7" s="4"/>
      <c r="M7" s="4"/>
      <c r="N7" s="4"/>
      <c r="O7" s="4"/>
      <c r="P7" s="4"/>
      <c r="Q7" s="4"/>
      <c r="R7" s="4"/>
      <c r="S7" s="4"/>
      <c r="T7" s="4"/>
      <c r="U7" s="4"/>
      <c r="V7" s="4"/>
      <c r="W7" s="4"/>
      <c r="X7" s="4"/>
      <c r="Y7" s="4"/>
      <c r="Z7" s="4"/>
    </row>
    <row r="8" ht="19.5" customHeight="1">
      <c r="A8" s="41"/>
      <c r="B8" s="42"/>
      <c r="C8" s="43"/>
      <c r="D8" s="43"/>
      <c r="E8" s="43"/>
      <c r="F8" s="4"/>
      <c r="G8" s="4"/>
      <c r="H8" s="4"/>
      <c r="I8" s="4"/>
      <c r="J8" s="4"/>
      <c r="K8" s="4"/>
      <c r="L8" s="4"/>
      <c r="M8" s="4"/>
      <c r="N8" s="4"/>
      <c r="O8" s="4"/>
      <c r="P8" s="4"/>
      <c r="Q8" s="4"/>
      <c r="R8" s="4"/>
      <c r="S8" s="4"/>
      <c r="T8" s="4"/>
      <c r="U8" s="4"/>
      <c r="V8" s="4"/>
      <c r="W8" s="4"/>
      <c r="X8" s="4"/>
      <c r="Y8" s="4"/>
      <c r="Z8" s="4"/>
    </row>
    <row r="9" ht="19.5" customHeight="1">
      <c r="A9" s="41"/>
      <c r="B9" s="42"/>
      <c r="C9" s="43"/>
      <c r="D9" s="43"/>
      <c r="E9" s="43"/>
      <c r="F9" s="4"/>
      <c r="G9" s="4"/>
      <c r="H9" s="4"/>
      <c r="I9" s="4"/>
      <c r="J9" s="4"/>
      <c r="K9" s="4"/>
      <c r="L9" s="4"/>
      <c r="M9" s="4"/>
      <c r="N9" s="4"/>
      <c r="O9" s="4"/>
      <c r="P9" s="4"/>
      <c r="Q9" s="4"/>
      <c r="R9" s="4"/>
      <c r="S9" s="4"/>
      <c r="T9" s="4"/>
      <c r="U9" s="4"/>
      <c r="V9" s="4"/>
      <c r="W9" s="4"/>
      <c r="X9" s="4"/>
      <c r="Y9" s="4"/>
      <c r="Z9" s="4"/>
    </row>
    <row r="10" ht="19.5" customHeight="1">
      <c r="A10" s="41"/>
      <c r="B10" s="42"/>
      <c r="C10" s="43"/>
      <c r="D10" s="43"/>
      <c r="E10" s="43"/>
      <c r="F10" s="4"/>
      <c r="G10" s="4"/>
      <c r="H10" s="4"/>
      <c r="I10" s="4"/>
      <c r="J10" s="4"/>
      <c r="K10" s="4"/>
      <c r="L10" s="4"/>
      <c r="M10" s="4"/>
      <c r="N10" s="4"/>
      <c r="O10" s="4"/>
      <c r="P10" s="4"/>
      <c r="Q10" s="4"/>
      <c r="R10" s="4"/>
      <c r="S10" s="4"/>
      <c r="T10" s="4"/>
      <c r="U10" s="4"/>
      <c r="V10" s="4"/>
      <c r="W10" s="4"/>
      <c r="X10" s="4"/>
      <c r="Y10" s="4"/>
      <c r="Z10" s="4"/>
    </row>
    <row r="11" ht="19.5" customHeight="1">
      <c r="A11" s="41"/>
      <c r="B11" s="42"/>
      <c r="C11" s="43"/>
      <c r="D11" s="43"/>
      <c r="E11" s="43"/>
      <c r="F11" s="4"/>
      <c r="G11" s="4"/>
      <c r="H11" s="4"/>
      <c r="I11" s="4"/>
      <c r="J11" s="4"/>
      <c r="K11" s="4"/>
      <c r="L11" s="4"/>
      <c r="M11" s="4"/>
      <c r="N11" s="4"/>
      <c r="O11" s="4"/>
      <c r="P11" s="4"/>
      <c r="Q11" s="4"/>
      <c r="R11" s="4"/>
      <c r="S11" s="4"/>
      <c r="T11" s="4"/>
      <c r="U11" s="4"/>
      <c r="V11" s="4"/>
      <c r="W11" s="4"/>
      <c r="X11" s="4"/>
      <c r="Y11" s="4"/>
      <c r="Z11" s="4"/>
    </row>
    <row r="12" ht="19.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9.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9.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9.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9.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9.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9.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9.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9.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9.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9.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9.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9.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9.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9.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9.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9.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9.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9.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9.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9.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9.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9.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9.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26" width="16.29"/>
  </cols>
  <sheetData>
    <row r="1" ht="27.0" customHeight="1">
      <c r="A1" s="2" t="s">
        <v>19</v>
      </c>
      <c r="F1" s="4"/>
      <c r="G1" s="4"/>
      <c r="H1" s="4"/>
      <c r="I1" s="4"/>
      <c r="J1" s="4"/>
      <c r="K1" s="4"/>
      <c r="L1" s="4"/>
      <c r="M1" s="4"/>
      <c r="N1" s="4"/>
      <c r="O1" s="4"/>
      <c r="P1" s="4"/>
      <c r="Q1" s="4"/>
      <c r="R1" s="4"/>
      <c r="S1" s="4"/>
      <c r="T1" s="4"/>
      <c r="U1" s="4"/>
      <c r="V1" s="4"/>
      <c r="W1" s="4"/>
      <c r="X1" s="4"/>
      <c r="Y1" s="4"/>
      <c r="Z1" s="4"/>
    </row>
    <row r="2" ht="20.25" customHeight="1">
      <c r="A2" s="37"/>
      <c r="B2" s="37"/>
      <c r="C2" s="37"/>
      <c r="D2" s="37"/>
      <c r="E2" s="37"/>
      <c r="F2" s="4"/>
      <c r="G2" s="4"/>
      <c r="H2" s="4"/>
      <c r="I2" s="4"/>
      <c r="J2" s="4"/>
      <c r="K2" s="4"/>
      <c r="L2" s="4"/>
      <c r="M2" s="4"/>
      <c r="N2" s="4"/>
      <c r="O2" s="4"/>
      <c r="P2" s="4"/>
      <c r="Q2" s="4"/>
      <c r="R2" s="4"/>
      <c r="S2" s="4"/>
      <c r="T2" s="4"/>
      <c r="U2" s="4"/>
      <c r="V2" s="4"/>
      <c r="W2" s="4"/>
      <c r="X2" s="4"/>
      <c r="Y2" s="4"/>
      <c r="Z2" s="4"/>
    </row>
    <row r="3" ht="20.25" customHeight="1">
      <c r="A3" s="38"/>
      <c r="B3" s="39"/>
      <c r="C3" s="40"/>
      <c r="D3" s="40"/>
      <c r="E3" s="40"/>
      <c r="F3" s="4"/>
      <c r="G3" s="4"/>
      <c r="H3" s="4"/>
      <c r="I3" s="4"/>
      <c r="J3" s="4"/>
      <c r="K3" s="4"/>
      <c r="L3" s="4"/>
      <c r="M3" s="4"/>
      <c r="N3" s="4"/>
      <c r="O3" s="4"/>
      <c r="P3" s="4"/>
      <c r="Q3" s="4"/>
      <c r="R3" s="4"/>
      <c r="S3" s="4"/>
      <c r="T3" s="4"/>
      <c r="U3" s="4"/>
      <c r="V3" s="4"/>
      <c r="W3" s="4"/>
      <c r="X3" s="4"/>
      <c r="Y3" s="4"/>
      <c r="Z3" s="4"/>
    </row>
    <row r="4" ht="19.5" customHeight="1">
      <c r="A4" s="41"/>
      <c r="B4" s="42"/>
      <c r="C4" s="43"/>
      <c r="D4" s="43"/>
      <c r="E4" s="43"/>
      <c r="F4" s="4"/>
      <c r="G4" s="4"/>
      <c r="H4" s="4"/>
      <c r="I4" s="4"/>
      <c r="J4" s="4"/>
      <c r="K4" s="4"/>
      <c r="L4" s="4"/>
      <c r="M4" s="4"/>
      <c r="N4" s="4"/>
      <c r="O4" s="4"/>
      <c r="P4" s="4"/>
      <c r="Q4" s="4"/>
      <c r="R4" s="4"/>
      <c r="S4" s="4"/>
      <c r="T4" s="4"/>
      <c r="U4" s="4"/>
      <c r="V4" s="4"/>
      <c r="W4" s="4"/>
      <c r="X4" s="4"/>
      <c r="Y4" s="4"/>
      <c r="Z4" s="4"/>
    </row>
    <row r="5" ht="19.5" customHeight="1">
      <c r="A5" s="41"/>
      <c r="B5" s="42"/>
      <c r="C5" s="43"/>
      <c r="D5" s="43"/>
      <c r="E5" s="43"/>
      <c r="F5" s="4"/>
      <c r="G5" s="4"/>
      <c r="H5" s="4"/>
      <c r="I5" s="4"/>
      <c r="J5" s="4"/>
      <c r="K5" s="4"/>
      <c r="L5" s="4"/>
      <c r="M5" s="4"/>
      <c r="N5" s="4"/>
      <c r="O5" s="4"/>
      <c r="P5" s="4"/>
      <c r="Q5" s="4"/>
      <c r="R5" s="4"/>
      <c r="S5" s="4"/>
      <c r="T5" s="4"/>
      <c r="U5" s="4"/>
      <c r="V5" s="4"/>
      <c r="W5" s="4"/>
      <c r="X5" s="4"/>
      <c r="Y5" s="4"/>
      <c r="Z5" s="4"/>
    </row>
    <row r="6" ht="19.5" customHeight="1">
      <c r="A6" s="41"/>
      <c r="B6" s="42"/>
      <c r="C6" s="43"/>
      <c r="D6" s="43"/>
      <c r="E6" s="43"/>
      <c r="F6" s="4"/>
      <c r="G6" s="4"/>
      <c r="H6" s="4"/>
      <c r="I6" s="4"/>
      <c r="J6" s="4"/>
      <c r="K6" s="4"/>
      <c r="L6" s="4"/>
      <c r="M6" s="4"/>
      <c r="N6" s="4"/>
      <c r="O6" s="4"/>
      <c r="P6" s="4"/>
      <c r="Q6" s="4"/>
      <c r="R6" s="4"/>
      <c r="S6" s="4"/>
      <c r="T6" s="4"/>
      <c r="U6" s="4"/>
      <c r="V6" s="4"/>
      <c r="W6" s="4"/>
      <c r="X6" s="4"/>
      <c r="Y6" s="4"/>
      <c r="Z6" s="4"/>
    </row>
    <row r="7" ht="19.5" customHeight="1">
      <c r="A7" s="41"/>
      <c r="B7" s="42"/>
      <c r="C7" s="43"/>
      <c r="D7" s="43"/>
      <c r="E7" s="43"/>
      <c r="F7" s="4"/>
      <c r="G7" s="4"/>
      <c r="H7" s="4"/>
      <c r="I7" s="4"/>
      <c r="J7" s="4"/>
      <c r="K7" s="4"/>
      <c r="L7" s="4"/>
      <c r="M7" s="4"/>
      <c r="N7" s="4"/>
      <c r="O7" s="4"/>
      <c r="P7" s="4"/>
      <c r="Q7" s="4"/>
      <c r="R7" s="4"/>
      <c r="S7" s="4"/>
      <c r="T7" s="4"/>
      <c r="U7" s="4"/>
      <c r="V7" s="4"/>
      <c r="W7" s="4"/>
      <c r="X7" s="4"/>
      <c r="Y7" s="4"/>
      <c r="Z7" s="4"/>
    </row>
    <row r="8" ht="19.5" customHeight="1">
      <c r="A8" s="41"/>
      <c r="B8" s="42"/>
      <c r="C8" s="43"/>
      <c r="D8" s="43"/>
      <c r="E8" s="43"/>
      <c r="F8" s="4"/>
      <c r="G8" s="4"/>
      <c r="H8" s="4"/>
      <c r="I8" s="4"/>
      <c r="J8" s="4"/>
      <c r="K8" s="4"/>
      <c r="L8" s="4"/>
      <c r="M8" s="4"/>
      <c r="N8" s="4"/>
      <c r="O8" s="4"/>
      <c r="P8" s="4"/>
      <c r="Q8" s="4"/>
      <c r="R8" s="4"/>
      <c r="S8" s="4"/>
      <c r="T8" s="4"/>
      <c r="U8" s="4"/>
      <c r="V8" s="4"/>
      <c r="W8" s="4"/>
      <c r="X8" s="4"/>
      <c r="Y8" s="4"/>
      <c r="Z8" s="4"/>
    </row>
    <row r="9" ht="19.5" customHeight="1">
      <c r="A9" s="41"/>
      <c r="B9" s="42"/>
      <c r="C9" s="43"/>
      <c r="D9" s="43"/>
      <c r="E9" s="43"/>
      <c r="F9" s="4"/>
      <c r="G9" s="4"/>
      <c r="H9" s="4"/>
      <c r="I9" s="4"/>
      <c r="J9" s="4"/>
      <c r="K9" s="4"/>
      <c r="L9" s="4"/>
      <c r="M9" s="4"/>
      <c r="N9" s="4"/>
      <c r="O9" s="4"/>
      <c r="P9" s="4"/>
      <c r="Q9" s="4"/>
      <c r="R9" s="4"/>
      <c r="S9" s="4"/>
      <c r="T9" s="4"/>
      <c r="U9" s="4"/>
      <c r="V9" s="4"/>
      <c r="W9" s="4"/>
      <c r="X9" s="4"/>
      <c r="Y9" s="4"/>
      <c r="Z9" s="4"/>
    </row>
    <row r="10" ht="19.5" customHeight="1">
      <c r="A10" s="41"/>
      <c r="B10" s="42"/>
      <c r="C10" s="43"/>
      <c r="D10" s="43"/>
      <c r="E10" s="43"/>
      <c r="F10" s="4"/>
      <c r="G10" s="4"/>
      <c r="H10" s="4"/>
      <c r="I10" s="4"/>
      <c r="J10" s="4"/>
      <c r="K10" s="4"/>
      <c r="L10" s="4"/>
      <c r="M10" s="4"/>
      <c r="N10" s="4"/>
      <c r="O10" s="4"/>
      <c r="P10" s="4"/>
      <c r="Q10" s="4"/>
      <c r="R10" s="4"/>
      <c r="S10" s="4"/>
      <c r="T10" s="4"/>
      <c r="U10" s="4"/>
      <c r="V10" s="4"/>
      <c r="W10" s="4"/>
      <c r="X10" s="4"/>
      <c r="Y10" s="4"/>
      <c r="Z10" s="4"/>
    </row>
    <row r="11" ht="19.5" customHeight="1">
      <c r="A11" s="41"/>
      <c r="B11" s="42"/>
      <c r="C11" s="43"/>
      <c r="D11" s="43"/>
      <c r="E11" s="43"/>
      <c r="F11" s="4"/>
      <c r="G11" s="4"/>
      <c r="H11" s="4"/>
      <c r="I11" s="4"/>
      <c r="J11" s="4"/>
      <c r="K11" s="4"/>
      <c r="L11" s="4"/>
      <c r="M11" s="4"/>
      <c r="N11" s="4"/>
      <c r="O11" s="4"/>
      <c r="P11" s="4"/>
      <c r="Q11" s="4"/>
      <c r="R11" s="4"/>
      <c r="S11" s="4"/>
      <c r="T11" s="4"/>
      <c r="U11" s="4"/>
      <c r="V11" s="4"/>
      <c r="W11" s="4"/>
      <c r="X11" s="4"/>
      <c r="Y11" s="4"/>
      <c r="Z11" s="4"/>
    </row>
    <row r="12" ht="19.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9.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9.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9.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9.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9.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9.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9.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9.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9.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9.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9.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9.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9.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9.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9.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9.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9.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9.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9.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9.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9.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9.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9.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26" width="16.29"/>
  </cols>
  <sheetData>
    <row r="1" ht="27.0" customHeight="1">
      <c r="A1" s="2" t="s">
        <v>19</v>
      </c>
      <c r="F1" s="4"/>
      <c r="G1" s="4"/>
      <c r="H1" s="4"/>
      <c r="I1" s="4"/>
      <c r="J1" s="4"/>
      <c r="K1" s="4"/>
      <c r="L1" s="4"/>
      <c r="M1" s="4"/>
      <c r="N1" s="4"/>
      <c r="O1" s="4"/>
      <c r="P1" s="4"/>
      <c r="Q1" s="4"/>
      <c r="R1" s="4"/>
      <c r="S1" s="4"/>
      <c r="T1" s="4"/>
      <c r="U1" s="4"/>
      <c r="V1" s="4"/>
      <c r="W1" s="4"/>
      <c r="X1" s="4"/>
      <c r="Y1" s="4"/>
      <c r="Z1" s="4"/>
    </row>
    <row r="2" ht="20.25" customHeight="1">
      <c r="A2" s="37"/>
      <c r="B2" s="37"/>
      <c r="C2" s="37"/>
      <c r="D2" s="37"/>
      <c r="E2" s="37"/>
      <c r="F2" s="4"/>
      <c r="G2" s="4"/>
      <c r="H2" s="4"/>
      <c r="I2" s="4"/>
      <c r="J2" s="4"/>
      <c r="K2" s="4"/>
      <c r="L2" s="4"/>
      <c r="M2" s="4"/>
      <c r="N2" s="4"/>
      <c r="O2" s="4"/>
      <c r="P2" s="4"/>
      <c r="Q2" s="4"/>
      <c r="R2" s="4"/>
      <c r="S2" s="4"/>
      <c r="T2" s="4"/>
      <c r="U2" s="4"/>
      <c r="V2" s="4"/>
      <c r="W2" s="4"/>
      <c r="X2" s="4"/>
      <c r="Y2" s="4"/>
      <c r="Z2" s="4"/>
    </row>
    <row r="3" ht="20.25" customHeight="1">
      <c r="A3" s="38"/>
      <c r="B3" s="39"/>
      <c r="C3" s="40"/>
      <c r="D3" s="40"/>
      <c r="E3" s="40"/>
      <c r="F3" s="4"/>
      <c r="G3" s="4"/>
      <c r="H3" s="4"/>
      <c r="I3" s="4"/>
      <c r="J3" s="4"/>
      <c r="K3" s="4"/>
      <c r="L3" s="4"/>
      <c r="M3" s="4"/>
      <c r="N3" s="4"/>
      <c r="O3" s="4"/>
      <c r="P3" s="4"/>
      <c r="Q3" s="4"/>
      <c r="R3" s="4"/>
      <c r="S3" s="4"/>
      <c r="T3" s="4"/>
      <c r="U3" s="4"/>
      <c r="V3" s="4"/>
      <c r="W3" s="4"/>
      <c r="X3" s="4"/>
      <c r="Y3" s="4"/>
      <c r="Z3" s="4"/>
    </row>
    <row r="4" ht="19.5" customHeight="1">
      <c r="A4" s="41"/>
      <c r="B4" s="42"/>
      <c r="C4" s="43"/>
      <c r="D4" s="43"/>
      <c r="E4" s="43"/>
      <c r="F4" s="4"/>
      <c r="G4" s="4"/>
      <c r="H4" s="4"/>
      <c r="I4" s="4"/>
      <c r="J4" s="4"/>
      <c r="K4" s="4"/>
      <c r="L4" s="4"/>
      <c r="M4" s="4"/>
      <c r="N4" s="4"/>
      <c r="O4" s="4"/>
      <c r="P4" s="4"/>
      <c r="Q4" s="4"/>
      <c r="R4" s="4"/>
      <c r="S4" s="4"/>
      <c r="T4" s="4"/>
      <c r="U4" s="4"/>
      <c r="V4" s="4"/>
      <c r="W4" s="4"/>
      <c r="X4" s="4"/>
      <c r="Y4" s="4"/>
      <c r="Z4" s="4"/>
    </row>
    <row r="5" ht="19.5" customHeight="1">
      <c r="A5" s="41"/>
      <c r="B5" s="42"/>
      <c r="C5" s="43"/>
      <c r="D5" s="43"/>
      <c r="E5" s="43"/>
      <c r="F5" s="4"/>
      <c r="G5" s="4"/>
      <c r="H5" s="4"/>
      <c r="I5" s="4"/>
      <c r="J5" s="4"/>
      <c r="K5" s="4"/>
      <c r="L5" s="4"/>
      <c r="M5" s="4"/>
      <c r="N5" s="4"/>
      <c r="O5" s="4"/>
      <c r="P5" s="4"/>
      <c r="Q5" s="4"/>
      <c r="R5" s="4"/>
      <c r="S5" s="4"/>
      <c r="T5" s="4"/>
      <c r="U5" s="4"/>
      <c r="V5" s="4"/>
      <c r="W5" s="4"/>
      <c r="X5" s="4"/>
      <c r="Y5" s="4"/>
      <c r="Z5" s="4"/>
    </row>
    <row r="6" ht="19.5" customHeight="1">
      <c r="A6" s="41"/>
      <c r="B6" s="42"/>
      <c r="C6" s="43"/>
      <c r="D6" s="43"/>
      <c r="E6" s="43"/>
      <c r="F6" s="4"/>
      <c r="G6" s="4"/>
      <c r="H6" s="4"/>
      <c r="I6" s="4"/>
      <c r="J6" s="4"/>
      <c r="K6" s="4"/>
      <c r="L6" s="4"/>
      <c r="M6" s="4"/>
      <c r="N6" s="4"/>
      <c r="O6" s="4"/>
      <c r="P6" s="4"/>
      <c r="Q6" s="4"/>
      <c r="R6" s="4"/>
      <c r="S6" s="4"/>
      <c r="T6" s="4"/>
      <c r="U6" s="4"/>
      <c r="V6" s="4"/>
      <c r="W6" s="4"/>
      <c r="X6" s="4"/>
      <c r="Y6" s="4"/>
      <c r="Z6" s="4"/>
    </row>
    <row r="7" ht="19.5" customHeight="1">
      <c r="A7" s="41"/>
      <c r="B7" s="42"/>
      <c r="C7" s="43"/>
      <c r="D7" s="43"/>
      <c r="E7" s="43"/>
      <c r="F7" s="4"/>
      <c r="G7" s="4"/>
      <c r="H7" s="4"/>
      <c r="I7" s="4"/>
      <c r="J7" s="4"/>
      <c r="K7" s="4"/>
      <c r="L7" s="4"/>
      <c r="M7" s="4"/>
      <c r="N7" s="4"/>
      <c r="O7" s="4"/>
      <c r="P7" s="4"/>
      <c r="Q7" s="4"/>
      <c r="R7" s="4"/>
      <c r="S7" s="4"/>
      <c r="T7" s="4"/>
      <c r="U7" s="4"/>
      <c r="V7" s="4"/>
      <c r="W7" s="4"/>
      <c r="X7" s="4"/>
      <c r="Y7" s="4"/>
      <c r="Z7" s="4"/>
    </row>
    <row r="8" ht="19.5" customHeight="1">
      <c r="A8" s="41"/>
      <c r="B8" s="42"/>
      <c r="C8" s="43"/>
      <c r="D8" s="43"/>
      <c r="E8" s="43"/>
      <c r="F8" s="4"/>
      <c r="G8" s="4"/>
      <c r="H8" s="4"/>
      <c r="I8" s="4"/>
      <c r="J8" s="4"/>
      <c r="K8" s="4"/>
      <c r="L8" s="4"/>
      <c r="M8" s="4"/>
      <c r="N8" s="4"/>
      <c r="O8" s="4"/>
      <c r="P8" s="4"/>
      <c r="Q8" s="4"/>
      <c r="R8" s="4"/>
      <c r="S8" s="4"/>
      <c r="T8" s="4"/>
      <c r="U8" s="4"/>
      <c r="V8" s="4"/>
      <c r="W8" s="4"/>
      <c r="X8" s="4"/>
      <c r="Y8" s="4"/>
      <c r="Z8" s="4"/>
    </row>
    <row r="9" ht="19.5" customHeight="1">
      <c r="A9" s="41"/>
      <c r="B9" s="42"/>
      <c r="C9" s="43"/>
      <c r="D9" s="43"/>
      <c r="E9" s="43"/>
      <c r="F9" s="4"/>
      <c r="G9" s="4"/>
      <c r="H9" s="4"/>
      <c r="I9" s="4"/>
      <c r="J9" s="4"/>
      <c r="K9" s="4"/>
      <c r="L9" s="4"/>
      <c r="M9" s="4"/>
      <c r="N9" s="4"/>
      <c r="O9" s="4"/>
      <c r="P9" s="4"/>
      <c r="Q9" s="4"/>
      <c r="R9" s="4"/>
      <c r="S9" s="4"/>
      <c r="T9" s="4"/>
      <c r="U9" s="4"/>
      <c r="V9" s="4"/>
      <c r="W9" s="4"/>
      <c r="X9" s="4"/>
      <c r="Y9" s="4"/>
      <c r="Z9" s="4"/>
    </row>
    <row r="10" ht="19.5" customHeight="1">
      <c r="A10" s="41"/>
      <c r="B10" s="42"/>
      <c r="C10" s="43"/>
      <c r="D10" s="43"/>
      <c r="E10" s="43"/>
      <c r="F10" s="4"/>
      <c r="G10" s="4"/>
      <c r="H10" s="4"/>
      <c r="I10" s="4"/>
      <c r="J10" s="4"/>
      <c r="K10" s="4"/>
      <c r="L10" s="4"/>
      <c r="M10" s="4"/>
      <c r="N10" s="4"/>
      <c r="O10" s="4"/>
      <c r="P10" s="4"/>
      <c r="Q10" s="4"/>
      <c r="R10" s="4"/>
      <c r="S10" s="4"/>
      <c r="T10" s="4"/>
      <c r="U10" s="4"/>
      <c r="V10" s="4"/>
      <c r="W10" s="4"/>
      <c r="X10" s="4"/>
      <c r="Y10" s="4"/>
      <c r="Z10" s="4"/>
    </row>
    <row r="11" ht="19.5" customHeight="1">
      <c r="A11" s="41"/>
      <c r="B11" s="42"/>
      <c r="C11" s="43"/>
      <c r="D11" s="43"/>
      <c r="E11" s="43"/>
      <c r="F11" s="4"/>
      <c r="G11" s="4"/>
      <c r="H11" s="4"/>
      <c r="I11" s="4"/>
      <c r="J11" s="4"/>
      <c r="K11" s="4"/>
      <c r="L11" s="4"/>
      <c r="M11" s="4"/>
      <c r="N11" s="4"/>
      <c r="O11" s="4"/>
      <c r="P11" s="4"/>
      <c r="Q11" s="4"/>
      <c r="R11" s="4"/>
      <c r="S11" s="4"/>
      <c r="T11" s="4"/>
      <c r="U11" s="4"/>
      <c r="V11" s="4"/>
      <c r="W11" s="4"/>
      <c r="X11" s="4"/>
      <c r="Y11" s="4"/>
      <c r="Z11" s="4"/>
    </row>
    <row r="12" ht="19.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9.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9.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9.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9.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9.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9.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9.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9.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9.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9.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9.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9.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9.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9.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9.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9.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9.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9.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9.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9.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9.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9.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9.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